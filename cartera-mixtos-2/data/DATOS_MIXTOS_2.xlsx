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PEL-PROYECTOS\MIXTOS_2\BASE_MIXTOS_2\"/>
    </mc:Choice>
  </mc:AlternateContent>
  <xr:revisionPtr revIDLastSave="0" documentId="8_{F95233BC-EF40-440D-BF40-CC0F0E3029A9}" xr6:coauthVersionLast="47" xr6:coauthVersionMax="47" xr10:uidLastSave="{00000000-0000-0000-0000-000000000000}"/>
  <bookViews>
    <workbookView xWindow="-120" yWindow="-120" windowWidth="29040" windowHeight="15720" tabRatio="724" activeTab="2" xr2:uid="{00000000-000D-0000-FFFF-FFFF00000000}"/>
  </bookViews>
  <sheets>
    <sheet name="Resumen Ejecutivo" sheetId="116" r:id="rId1"/>
    <sheet name="Proyectos ok" sheetId="119" r:id="rId2"/>
    <sheet name="Base valores" sheetId="118" r:id="rId3"/>
    <sheet name="BASE_DE_DATOS" sheetId="121" r:id="rId4"/>
    <sheet name="REGLAS" sheetId="122" r:id="rId5"/>
  </sheets>
  <definedNames>
    <definedName name="_xlnm._FilterDatabase" localSheetId="2" hidden="1">'Base valores'!$B$8:$AB$76</definedName>
    <definedName name="_xlnm._FilterDatabase" localSheetId="3" hidden="1">BASE_DE_DATOS!$A$3:$BB$3</definedName>
    <definedName name="_xlnm._FilterDatabase" localSheetId="0" hidden="1">'Resumen Ejecutivo'!$C$8:$M$8</definedName>
    <definedName name="_xlnm.Print_Area" localSheetId="2">'Base valores'!$A$1:$AH$77</definedName>
    <definedName name="_xlnm.Print_Area" localSheetId="1">'Proyectos ok'!$B$1:$W$31</definedName>
    <definedName name="_xlnm.Print_Area" localSheetId="0">'Resumen Ejecutivo'!$B$1:$P$75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" i="116" l="1"/>
  <c r="M56" i="116"/>
  <c r="M57" i="116"/>
  <c r="M58" i="116"/>
  <c r="M59" i="116"/>
  <c r="M60" i="116"/>
  <c r="M61" i="116"/>
  <c r="M62" i="116"/>
  <c r="M63" i="116"/>
  <c r="M64" i="116"/>
  <c r="M65" i="116"/>
  <c r="M66" i="116"/>
  <c r="M67" i="116"/>
  <c r="M68" i="116"/>
  <c r="M69" i="116"/>
  <c r="M70" i="116"/>
  <c r="M71" i="116"/>
  <c r="M72" i="116"/>
  <c r="M31" i="116"/>
  <c r="M32" i="116"/>
  <c r="M33" i="116"/>
  <c r="M34" i="116"/>
  <c r="M35" i="116"/>
  <c r="M36" i="116"/>
  <c r="M37" i="116"/>
  <c r="M38" i="116"/>
  <c r="M39" i="116"/>
  <c r="M40" i="116"/>
  <c r="M41" i="116"/>
  <c r="M42" i="116"/>
  <c r="M43" i="116"/>
  <c r="M44" i="116"/>
  <c r="M45" i="116"/>
  <c r="M46" i="116"/>
  <c r="M47" i="116"/>
  <c r="M48" i="116"/>
  <c r="M49" i="116"/>
  <c r="M50" i="116"/>
  <c r="M51" i="116"/>
  <c r="M52" i="116"/>
  <c r="M53" i="116"/>
  <c r="M54" i="116"/>
  <c r="M10" i="116"/>
  <c r="M11" i="116"/>
  <c r="M12" i="116"/>
  <c r="M13" i="116"/>
  <c r="M14" i="116"/>
  <c r="M15" i="116"/>
  <c r="M16" i="116"/>
  <c r="M17" i="116"/>
  <c r="M18" i="116"/>
  <c r="M19" i="116"/>
  <c r="M20" i="116"/>
  <c r="M21" i="116"/>
  <c r="M22" i="116"/>
  <c r="M23" i="116"/>
  <c r="M24" i="116"/>
  <c r="M25" i="116"/>
  <c r="M26" i="116"/>
  <c r="M27" i="116"/>
  <c r="M28" i="116"/>
  <c r="M29" i="116"/>
  <c r="M30" i="116"/>
  <c r="M9" i="116"/>
  <c r="M74" i="116" s="1"/>
  <c r="L55" i="116"/>
  <c r="L56" i="116"/>
  <c r="L57" i="116"/>
  <c r="L58" i="116"/>
  <c r="L59" i="116"/>
  <c r="L60" i="116"/>
  <c r="L61" i="116"/>
  <c r="L62" i="116"/>
  <c r="L63" i="116"/>
  <c r="L64" i="116"/>
  <c r="L65" i="116"/>
  <c r="L66" i="116"/>
  <c r="L67" i="116"/>
  <c r="L68" i="116"/>
  <c r="L69" i="116"/>
  <c r="L70" i="116"/>
  <c r="L71" i="116"/>
  <c r="L72" i="116"/>
  <c r="L31" i="116"/>
  <c r="L32" i="116"/>
  <c r="L33" i="116"/>
  <c r="L34" i="116"/>
  <c r="L35" i="116"/>
  <c r="L36" i="116"/>
  <c r="L37" i="116"/>
  <c r="L38" i="116"/>
  <c r="L39" i="116"/>
  <c r="L40" i="116"/>
  <c r="L41" i="116"/>
  <c r="L42" i="116"/>
  <c r="L43" i="116"/>
  <c r="L44" i="116"/>
  <c r="L45" i="116"/>
  <c r="L46" i="116"/>
  <c r="L47" i="116"/>
  <c r="L48" i="116"/>
  <c r="L49" i="116"/>
  <c r="L50" i="116"/>
  <c r="L51" i="116"/>
  <c r="L52" i="116"/>
  <c r="L53" i="116"/>
  <c r="L54" i="116"/>
  <c r="L10" i="116"/>
  <c r="L11" i="116"/>
  <c r="L12" i="116"/>
  <c r="L13" i="116"/>
  <c r="L14" i="116"/>
  <c r="L15" i="116"/>
  <c r="L16" i="116"/>
  <c r="L17" i="116"/>
  <c r="L18" i="116"/>
  <c r="L19" i="116"/>
  <c r="L20" i="116"/>
  <c r="L21" i="116"/>
  <c r="L22" i="116"/>
  <c r="L23" i="116"/>
  <c r="L24" i="116"/>
  <c r="L25" i="116"/>
  <c r="L26" i="116"/>
  <c r="L27" i="116"/>
  <c r="L28" i="116"/>
  <c r="L29" i="116"/>
  <c r="L30" i="116"/>
  <c r="L9" i="116"/>
  <c r="L74" i="116" s="1"/>
  <c r="K55" i="116"/>
  <c r="K56" i="116"/>
  <c r="K57" i="116"/>
  <c r="K58" i="116"/>
  <c r="K59" i="116"/>
  <c r="K60" i="116"/>
  <c r="K61" i="116"/>
  <c r="K62" i="116"/>
  <c r="K63" i="116"/>
  <c r="K64" i="116"/>
  <c r="K65" i="116"/>
  <c r="K66" i="116"/>
  <c r="K67" i="116"/>
  <c r="K68" i="116"/>
  <c r="K69" i="116"/>
  <c r="K70" i="116"/>
  <c r="K71" i="116"/>
  <c r="K72" i="116"/>
  <c r="K31" i="116"/>
  <c r="K32" i="116"/>
  <c r="K33" i="116"/>
  <c r="K34" i="116"/>
  <c r="K35" i="116"/>
  <c r="K36" i="116"/>
  <c r="K37" i="116"/>
  <c r="K38" i="116"/>
  <c r="K39" i="116"/>
  <c r="K40" i="116"/>
  <c r="K41" i="116"/>
  <c r="K42" i="116"/>
  <c r="K43" i="116"/>
  <c r="K44" i="116"/>
  <c r="K45" i="116"/>
  <c r="K46" i="116"/>
  <c r="K47" i="116"/>
  <c r="K48" i="116"/>
  <c r="K49" i="116"/>
  <c r="K50" i="116"/>
  <c r="K51" i="116"/>
  <c r="K52" i="116"/>
  <c r="K53" i="116"/>
  <c r="K54" i="116"/>
  <c r="K10" i="116"/>
  <c r="K11" i="116"/>
  <c r="K12" i="116"/>
  <c r="K13" i="116"/>
  <c r="K14" i="116"/>
  <c r="K15" i="116"/>
  <c r="K16" i="116"/>
  <c r="K17" i="116"/>
  <c r="K18" i="116"/>
  <c r="K19" i="116"/>
  <c r="K20" i="116"/>
  <c r="K21" i="116"/>
  <c r="K22" i="116"/>
  <c r="K23" i="116"/>
  <c r="K24" i="116"/>
  <c r="K25" i="116"/>
  <c r="K26" i="116"/>
  <c r="K27" i="116"/>
  <c r="K28" i="116"/>
  <c r="K29" i="116"/>
  <c r="K30" i="116"/>
  <c r="K9" i="116"/>
  <c r="K74" i="116" s="1"/>
  <c r="J10" i="116"/>
  <c r="J11" i="116"/>
  <c r="J12" i="116"/>
  <c r="J13" i="116"/>
  <c r="J14" i="116"/>
  <c r="J15" i="116"/>
  <c r="J16" i="116"/>
  <c r="J17" i="116"/>
  <c r="J18" i="116"/>
  <c r="J19" i="116"/>
  <c r="J20" i="116"/>
  <c r="J21" i="116"/>
  <c r="J22" i="116"/>
  <c r="J23" i="116"/>
  <c r="J24" i="116"/>
  <c r="J25" i="116"/>
  <c r="J26" i="116"/>
  <c r="J27" i="116"/>
  <c r="J28" i="116"/>
  <c r="J29" i="116"/>
  <c r="J30" i="116"/>
  <c r="J31" i="116"/>
  <c r="J32" i="116"/>
  <c r="J33" i="116"/>
  <c r="J34" i="116"/>
  <c r="J35" i="116"/>
  <c r="J36" i="116"/>
  <c r="J37" i="116"/>
  <c r="J38" i="116"/>
  <c r="J39" i="116"/>
  <c r="J40" i="116"/>
  <c r="J41" i="116"/>
  <c r="J42" i="116"/>
  <c r="J43" i="116"/>
  <c r="J44" i="116"/>
  <c r="J45" i="116"/>
  <c r="J46" i="116"/>
  <c r="J47" i="116"/>
  <c r="J48" i="116"/>
  <c r="J49" i="116"/>
  <c r="J50" i="116"/>
  <c r="J51" i="116"/>
  <c r="J52" i="116"/>
  <c r="J53" i="116"/>
  <c r="J54" i="116"/>
  <c r="J55" i="116"/>
  <c r="J56" i="116"/>
  <c r="J57" i="116"/>
  <c r="J58" i="116"/>
  <c r="J59" i="116"/>
  <c r="J60" i="116"/>
  <c r="J61" i="116"/>
  <c r="J62" i="116"/>
  <c r="J63" i="116"/>
  <c r="J64" i="116"/>
  <c r="J65" i="116"/>
  <c r="J66" i="116"/>
  <c r="J67" i="116"/>
  <c r="J68" i="116"/>
  <c r="J69" i="116"/>
  <c r="J70" i="116"/>
  <c r="J71" i="116"/>
  <c r="J72" i="116"/>
  <c r="I10" i="116"/>
  <c r="I11" i="116"/>
  <c r="I12" i="116"/>
  <c r="I13" i="116"/>
  <c r="I14" i="116"/>
  <c r="I15" i="116"/>
  <c r="I16" i="116"/>
  <c r="I17" i="116"/>
  <c r="I18" i="116"/>
  <c r="I19" i="116"/>
  <c r="I20" i="116"/>
  <c r="I21" i="116"/>
  <c r="I22" i="116"/>
  <c r="I23" i="116"/>
  <c r="I24" i="116"/>
  <c r="I25" i="116"/>
  <c r="I26" i="116"/>
  <c r="I27" i="116"/>
  <c r="I28" i="116"/>
  <c r="I29" i="116"/>
  <c r="I30" i="116"/>
  <c r="I31" i="116"/>
  <c r="I32" i="116"/>
  <c r="I33" i="116"/>
  <c r="I34" i="116"/>
  <c r="I35" i="116"/>
  <c r="I36" i="116"/>
  <c r="I37" i="116"/>
  <c r="I38" i="116"/>
  <c r="I39" i="116"/>
  <c r="I40" i="116"/>
  <c r="I41" i="116"/>
  <c r="I42" i="116"/>
  <c r="I43" i="116"/>
  <c r="I44" i="116"/>
  <c r="I45" i="116"/>
  <c r="I46" i="116"/>
  <c r="I47" i="116"/>
  <c r="I48" i="116"/>
  <c r="I49" i="116"/>
  <c r="I50" i="116"/>
  <c r="I51" i="116"/>
  <c r="I52" i="116"/>
  <c r="I53" i="116"/>
  <c r="I54" i="116"/>
  <c r="I55" i="116"/>
  <c r="I56" i="116"/>
  <c r="I57" i="116"/>
  <c r="I58" i="116"/>
  <c r="I59" i="116"/>
  <c r="I60" i="116"/>
  <c r="I61" i="116"/>
  <c r="I62" i="116"/>
  <c r="I63" i="116"/>
  <c r="I64" i="116"/>
  <c r="I65" i="116"/>
  <c r="I66" i="116"/>
  <c r="I67" i="116"/>
  <c r="I68" i="116"/>
  <c r="I69" i="116"/>
  <c r="I70" i="116"/>
  <c r="I71" i="116"/>
  <c r="I72" i="116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H39" i="116"/>
  <c r="H40" i="116"/>
  <c r="H41" i="116"/>
  <c r="H42" i="116"/>
  <c r="H43" i="116"/>
  <c r="H44" i="116"/>
  <c r="H45" i="116"/>
  <c r="H46" i="116"/>
  <c r="H47" i="116"/>
  <c r="H48" i="116"/>
  <c r="H49" i="116"/>
  <c r="H50" i="116"/>
  <c r="H51" i="116"/>
  <c r="H52" i="116"/>
  <c r="H53" i="116"/>
  <c r="H54" i="116"/>
  <c r="H55" i="116"/>
  <c r="H56" i="116"/>
  <c r="H57" i="116"/>
  <c r="H58" i="116"/>
  <c r="H59" i="116"/>
  <c r="H60" i="116"/>
  <c r="H61" i="116"/>
  <c r="H62" i="116"/>
  <c r="H63" i="116"/>
  <c r="H64" i="116"/>
  <c r="H65" i="116"/>
  <c r="H66" i="116"/>
  <c r="H67" i="116"/>
  <c r="H68" i="116"/>
  <c r="H69" i="116"/>
  <c r="H70" i="116"/>
  <c r="H71" i="116"/>
  <c r="H72" i="116"/>
  <c r="G10" i="116"/>
  <c r="G11" i="116"/>
  <c r="G12" i="116"/>
  <c r="G13" i="116"/>
  <c r="G14" i="116"/>
  <c r="G15" i="116"/>
  <c r="G16" i="116"/>
  <c r="G17" i="116"/>
  <c r="G18" i="116"/>
  <c r="G19" i="116"/>
  <c r="G20" i="116"/>
  <c r="G21" i="116"/>
  <c r="G22" i="116"/>
  <c r="G23" i="116"/>
  <c r="G24" i="116"/>
  <c r="G25" i="116"/>
  <c r="G26" i="116"/>
  <c r="G27" i="116"/>
  <c r="G28" i="116"/>
  <c r="G29" i="116"/>
  <c r="G30" i="116"/>
  <c r="G31" i="116"/>
  <c r="G32" i="116"/>
  <c r="G33" i="116"/>
  <c r="G34" i="116"/>
  <c r="G35" i="116"/>
  <c r="G36" i="116"/>
  <c r="G37" i="116"/>
  <c r="G38" i="116"/>
  <c r="G39" i="116"/>
  <c r="G40" i="116"/>
  <c r="G41" i="116"/>
  <c r="G42" i="116"/>
  <c r="G43" i="116"/>
  <c r="G44" i="116"/>
  <c r="G45" i="116"/>
  <c r="G46" i="116"/>
  <c r="G47" i="116"/>
  <c r="G48" i="116"/>
  <c r="G49" i="116"/>
  <c r="G50" i="116"/>
  <c r="G51" i="116"/>
  <c r="G52" i="116"/>
  <c r="G53" i="116"/>
  <c r="G54" i="116"/>
  <c r="G55" i="116"/>
  <c r="G56" i="116"/>
  <c r="G57" i="116"/>
  <c r="G58" i="116"/>
  <c r="G59" i="116"/>
  <c r="G60" i="116"/>
  <c r="G61" i="116"/>
  <c r="G62" i="116"/>
  <c r="G63" i="116"/>
  <c r="G64" i="116"/>
  <c r="G65" i="116"/>
  <c r="G66" i="116"/>
  <c r="G67" i="116"/>
  <c r="G68" i="116"/>
  <c r="G69" i="116"/>
  <c r="G70" i="116"/>
  <c r="G71" i="116"/>
  <c r="G72" i="116"/>
  <c r="F10" i="116"/>
  <c r="F11" i="116"/>
  <c r="F12" i="116"/>
  <c r="F13" i="116"/>
  <c r="F14" i="116"/>
  <c r="F15" i="116"/>
  <c r="F16" i="116"/>
  <c r="F17" i="116"/>
  <c r="F18" i="116"/>
  <c r="F19" i="116"/>
  <c r="F20" i="116"/>
  <c r="F21" i="116"/>
  <c r="F22" i="116"/>
  <c r="F23" i="116"/>
  <c r="F24" i="116"/>
  <c r="F25" i="116"/>
  <c r="F26" i="116"/>
  <c r="F27" i="116"/>
  <c r="F28" i="116"/>
  <c r="F29" i="116"/>
  <c r="F30" i="116"/>
  <c r="F31" i="116"/>
  <c r="F32" i="116"/>
  <c r="F33" i="116"/>
  <c r="F34" i="116"/>
  <c r="F35" i="116"/>
  <c r="F36" i="116"/>
  <c r="F37" i="116"/>
  <c r="F38" i="116"/>
  <c r="F39" i="116"/>
  <c r="F40" i="116"/>
  <c r="F41" i="116"/>
  <c r="F42" i="116"/>
  <c r="F43" i="116"/>
  <c r="F44" i="116"/>
  <c r="F45" i="116"/>
  <c r="F46" i="116"/>
  <c r="F47" i="116"/>
  <c r="F48" i="116"/>
  <c r="F49" i="116"/>
  <c r="F50" i="116"/>
  <c r="F51" i="116"/>
  <c r="F52" i="116"/>
  <c r="F53" i="116"/>
  <c r="F54" i="116"/>
  <c r="F55" i="116"/>
  <c r="F56" i="116"/>
  <c r="F57" i="116"/>
  <c r="F58" i="116"/>
  <c r="F59" i="116"/>
  <c r="F60" i="116"/>
  <c r="F61" i="116"/>
  <c r="F62" i="116"/>
  <c r="F63" i="116"/>
  <c r="F64" i="116"/>
  <c r="F65" i="116"/>
  <c r="F66" i="116"/>
  <c r="F67" i="116"/>
  <c r="F68" i="116"/>
  <c r="F69" i="116"/>
  <c r="F70" i="116"/>
  <c r="F71" i="116"/>
  <c r="F72" i="116"/>
  <c r="E10" i="116"/>
  <c r="E11" i="116"/>
  <c r="E12" i="116"/>
  <c r="E13" i="116"/>
  <c r="E14" i="116"/>
  <c r="E15" i="116"/>
  <c r="E16" i="116"/>
  <c r="E17" i="116"/>
  <c r="E18" i="116"/>
  <c r="E19" i="116"/>
  <c r="E20" i="116"/>
  <c r="E21" i="116"/>
  <c r="E22" i="116"/>
  <c r="E23" i="116"/>
  <c r="E24" i="116"/>
  <c r="E25" i="116"/>
  <c r="E26" i="116"/>
  <c r="E27" i="116"/>
  <c r="E28" i="116"/>
  <c r="E29" i="116"/>
  <c r="E30" i="116"/>
  <c r="E31" i="116"/>
  <c r="E32" i="116"/>
  <c r="E33" i="116"/>
  <c r="E34" i="116"/>
  <c r="E35" i="116"/>
  <c r="E36" i="116"/>
  <c r="E37" i="116"/>
  <c r="E38" i="116"/>
  <c r="E39" i="116"/>
  <c r="E40" i="116"/>
  <c r="E41" i="116"/>
  <c r="E42" i="116"/>
  <c r="E43" i="116"/>
  <c r="E44" i="116"/>
  <c r="E45" i="116"/>
  <c r="E46" i="116"/>
  <c r="E47" i="116"/>
  <c r="E48" i="116"/>
  <c r="E49" i="116"/>
  <c r="E50" i="116"/>
  <c r="E51" i="116"/>
  <c r="E52" i="116"/>
  <c r="E53" i="116"/>
  <c r="E54" i="116"/>
  <c r="E55" i="116"/>
  <c r="E56" i="116"/>
  <c r="E57" i="116"/>
  <c r="E58" i="116"/>
  <c r="E59" i="116"/>
  <c r="E60" i="116"/>
  <c r="E61" i="116"/>
  <c r="E62" i="116"/>
  <c r="E63" i="116"/>
  <c r="E64" i="116"/>
  <c r="E65" i="116"/>
  <c r="E66" i="116"/>
  <c r="E67" i="116"/>
  <c r="E68" i="116"/>
  <c r="E69" i="116"/>
  <c r="E70" i="116"/>
  <c r="E71" i="116"/>
  <c r="E72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40" i="116"/>
  <c r="D41" i="116"/>
  <c r="D42" i="116"/>
  <c r="D43" i="116"/>
  <c r="D44" i="116"/>
  <c r="D45" i="116"/>
  <c r="D46" i="116"/>
  <c r="D47" i="116"/>
  <c r="D48" i="116"/>
  <c r="D49" i="116"/>
  <c r="D50" i="116"/>
  <c r="D51" i="116"/>
  <c r="D52" i="116"/>
  <c r="D53" i="116"/>
  <c r="D54" i="116"/>
  <c r="D55" i="116"/>
  <c r="D56" i="116"/>
  <c r="D57" i="116"/>
  <c r="D58" i="116"/>
  <c r="D59" i="116"/>
  <c r="D60" i="116"/>
  <c r="D61" i="116"/>
  <c r="D62" i="116"/>
  <c r="D63" i="116"/>
  <c r="D64" i="116"/>
  <c r="D65" i="116"/>
  <c r="D66" i="116"/>
  <c r="D67" i="116"/>
  <c r="D68" i="116"/>
  <c r="D69" i="116"/>
  <c r="D70" i="116"/>
  <c r="D71" i="116"/>
  <c r="D72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39" i="116"/>
  <c r="C40" i="116"/>
  <c r="C41" i="116"/>
  <c r="C42" i="116"/>
  <c r="C43" i="116"/>
  <c r="C44" i="116"/>
  <c r="C45" i="116"/>
  <c r="C46" i="116"/>
  <c r="C47" i="116"/>
  <c r="C48" i="116"/>
  <c r="C49" i="116"/>
  <c r="C50" i="116"/>
  <c r="C51" i="116"/>
  <c r="C52" i="116"/>
  <c r="C53" i="116"/>
  <c r="C54" i="116"/>
  <c r="C55" i="116"/>
  <c r="C56" i="116"/>
  <c r="C57" i="116"/>
  <c r="C58" i="116"/>
  <c r="C59" i="116"/>
  <c r="C60" i="116"/>
  <c r="C61" i="116"/>
  <c r="C62" i="116"/>
  <c r="C63" i="116"/>
  <c r="C64" i="116"/>
  <c r="C65" i="116"/>
  <c r="C66" i="116"/>
  <c r="C67" i="116"/>
  <c r="C68" i="116"/>
  <c r="C69" i="116"/>
  <c r="C70" i="116"/>
  <c r="C71" i="116"/>
  <c r="C72" i="116"/>
  <c r="I9" i="116"/>
  <c r="J9" i="116"/>
  <c r="H9" i="116"/>
  <c r="G9" i="116"/>
  <c r="F9" i="116"/>
  <c r="E9" i="116"/>
  <c r="D9" i="116"/>
  <c r="C9" i="116"/>
  <c r="AK5" i="121"/>
  <c r="AL5" i="121"/>
  <c r="AM5" i="121"/>
  <c r="AN5" i="121"/>
  <c r="AO5" i="121"/>
  <c r="AP5" i="121"/>
  <c r="AQ5" i="121"/>
  <c r="AR5" i="121"/>
  <c r="AS5" i="121"/>
  <c r="AT5" i="121"/>
  <c r="AU5" i="121"/>
  <c r="AV5" i="121"/>
  <c r="AW5" i="121"/>
  <c r="AX5" i="121"/>
  <c r="AY5" i="121"/>
  <c r="AZ5" i="121"/>
  <c r="BA5" i="121"/>
  <c r="BB5" i="121"/>
  <c r="AK6" i="121"/>
  <c r="AL6" i="121"/>
  <c r="AM6" i="121"/>
  <c r="AN6" i="121"/>
  <c r="AO6" i="121"/>
  <c r="AP6" i="121"/>
  <c r="AQ6" i="121"/>
  <c r="AR6" i="121"/>
  <c r="AS6" i="121"/>
  <c r="AT6" i="121"/>
  <c r="AU6" i="121"/>
  <c r="AV6" i="121"/>
  <c r="AW6" i="121"/>
  <c r="AX6" i="121"/>
  <c r="AY6" i="121"/>
  <c r="AZ6" i="121"/>
  <c r="BA6" i="121"/>
  <c r="BB6" i="121"/>
  <c r="AK7" i="121"/>
  <c r="AL7" i="121"/>
  <c r="AM7" i="121"/>
  <c r="AN7" i="121"/>
  <c r="AO7" i="121"/>
  <c r="AP7" i="121"/>
  <c r="AQ7" i="121"/>
  <c r="AR7" i="121"/>
  <c r="AS7" i="121"/>
  <c r="AT7" i="121"/>
  <c r="AU7" i="121"/>
  <c r="AV7" i="121"/>
  <c r="AW7" i="121"/>
  <c r="AX7" i="121"/>
  <c r="AY7" i="121"/>
  <c r="AZ7" i="121"/>
  <c r="BA7" i="121"/>
  <c r="BB7" i="121"/>
  <c r="AK8" i="121"/>
  <c r="AL8" i="121"/>
  <c r="AM8" i="121"/>
  <c r="AN8" i="121"/>
  <c r="AO8" i="121"/>
  <c r="AP8" i="121"/>
  <c r="AQ8" i="121"/>
  <c r="AR8" i="121"/>
  <c r="AS8" i="121"/>
  <c r="AT8" i="121"/>
  <c r="AU8" i="121"/>
  <c r="AV8" i="121"/>
  <c r="AW8" i="121"/>
  <c r="AX8" i="121"/>
  <c r="AY8" i="121"/>
  <c r="AZ8" i="121"/>
  <c r="BA8" i="121"/>
  <c r="BB8" i="121"/>
  <c r="AK9" i="121"/>
  <c r="AL9" i="121"/>
  <c r="AM9" i="121"/>
  <c r="AN9" i="121"/>
  <c r="AO9" i="121"/>
  <c r="AP9" i="121"/>
  <c r="AQ9" i="121"/>
  <c r="AR9" i="121"/>
  <c r="AS9" i="121"/>
  <c r="AT9" i="121"/>
  <c r="AU9" i="121"/>
  <c r="AV9" i="121"/>
  <c r="AW9" i="121"/>
  <c r="AX9" i="121"/>
  <c r="AY9" i="121"/>
  <c r="AZ9" i="121"/>
  <c r="BA9" i="121"/>
  <c r="BB9" i="121"/>
  <c r="AK10" i="121"/>
  <c r="AL10" i="121"/>
  <c r="AM10" i="121"/>
  <c r="AN10" i="121"/>
  <c r="AO10" i="121"/>
  <c r="AP10" i="121"/>
  <c r="AQ10" i="121"/>
  <c r="AR10" i="121"/>
  <c r="AS10" i="121"/>
  <c r="AT10" i="121"/>
  <c r="AU10" i="121"/>
  <c r="AV10" i="121"/>
  <c r="AW10" i="121"/>
  <c r="AX10" i="121"/>
  <c r="AY10" i="121"/>
  <c r="AZ10" i="121"/>
  <c r="BA10" i="121"/>
  <c r="BB10" i="121"/>
  <c r="AK11" i="121"/>
  <c r="AL11" i="121"/>
  <c r="AM11" i="121"/>
  <c r="AN11" i="121"/>
  <c r="AO11" i="121"/>
  <c r="AP11" i="121"/>
  <c r="AQ11" i="121"/>
  <c r="AR11" i="121"/>
  <c r="AS11" i="121"/>
  <c r="AT11" i="121"/>
  <c r="AU11" i="121"/>
  <c r="AV11" i="121"/>
  <c r="AW11" i="121"/>
  <c r="AX11" i="121"/>
  <c r="AY11" i="121"/>
  <c r="AZ11" i="121"/>
  <c r="BA11" i="121"/>
  <c r="BB11" i="121"/>
  <c r="AK12" i="121"/>
  <c r="AL12" i="121"/>
  <c r="AM12" i="121"/>
  <c r="AN12" i="121"/>
  <c r="AO12" i="121"/>
  <c r="AP12" i="121"/>
  <c r="AQ12" i="121"/>
  <c r="AR12" i="121"/>
  <c r="AS12" i="121"/>
  <c r="AT12" i="121"/>
  <c r="AU12" i="121"/>
  <c r="AV12" i="121"/>
  <c r="AW12" i="121"/>
  <c r="AX12" i="121"/>
  <c r="AY12" i="121"/>
  <c r="AZ12" i="121"/>
  <c r="BA12" i="121"/>
  <c r="BB12" i="121"/>
  <c r="AK13" i="121"/>
  <c r="AL13" i="121"/>
  <c r="AM13" i="121"/>
  <c r="AN13" i="121"/>
  <c r="AO13" i="121"/>
  <c r="AP13" i="121"/>
  <c r="AQ13" i="121"/>
  <c r="AR13" i="121"/>
  <c r="AS13" i="121"/>
  <c r="AT13" i="121"/>
  <c r="AU13" i="121"/>
  <c r="AV13" i="121"/>
  <c r="AW13" i="121"/>
  <c r="AX13" i="121"/>
  <c r="AY13" i="121"/>
  <c r="AZ13" i="121"/>
  <c r="BA13" i="121"/>
  <c r="BB13" i="121"/>
  <c r="AK14" i="121"/>
  <c r="AL14" i="121"/>
  <c r="AM14" i="121"/>
  <c r="AN14" i="121"/>
  <c r="AO14" i="121"/>
  <c r="AP14" i="121"/>
  <c r="AQ14" i="121"/>
  <c r="AR14" i="121"/>
  <c r="AS14" i="121"/>
  <c r="AT14" i="121"/>
  <c r="AU14" i="121"/>
  <c r="AV14" i="121"/>
  <c r="AW14" i="121"/>
  <c r="AX14" i="121"/>
  <c r="AY14" i="121"/>
  <c r="AZ14" i="121"/>
  <c r="BA14" i="121"/>
  <c r="BB14" i="121"/>
  <c r="AK15" i="121"/>
  <c r="AL15" i="121"/>
  <c r="AM15" i="121"/>
  <c r="AN15" i="121"/>
  <c r="AO15" i="121"/>
  <c r="AP15" i="121"/>
  <c r="AQ15" i="121"/>
  <c r="AR15" i="121"/>
  <c r="AS15" i="121"/>
  <c r="AT15" i="121"/>
  <c r="AU15" i="121"/>
  <c r="AV15" i="121"/>
  <c r="AW15" i="121"/>
  <c r="AX15" i="121"/>
  <c r="AY15" i="121"/>
  <c r="AZ15" i="121"/>
  <c r="BA15" i="121"/>
  <c r="BB15" i="121"/>
  <c r="AK16" i="121"/>
  <c r="AL16" i="121"/>
  <c r="AM16" i="121"/>
  <c r="AN16" i="121"/>
  <c r="AO16" i="121"/>
  <c r="AP16" i="121"/>
  <c r="AQ16" i="121"/>
  <c r="AR16" i="121"/>
  <c r="AS16" i="121"/>
  <c r="AT16" i="121"/>
  <c r="AU16" i="121"/>
  <c r="AV16" i="121"/>
  <c r="AW16" i="121"/>
  <c r="AX16" i="121"/>
  <c r="AY16" i="121"/>
  <c r="AZ16" i="121"/>
  <c r="BA16" i="121"/>
  <c r="BB16" i="121"/>
  <c r="AK17" i="121"/>
  <c r="AL17" i="121"/>
  <c r="AM17" i="121"/>
  <c r="AN17" i="121"/>
  <c r="AO17" i="121"/>
  <c r="AP17" i="121"/>
  <c r="AQ17" i="121"/>
  <c r="AR17" i="121"/>
  <c r="AS17" i="121"/>
  <c r="AT17" i="121"/>
  <c r="AU17" i="121"/>
  <c r="AV17" i="121"/>
  <c r="AW17" i="121"/>
  <c r="AX17" i="121"/>
  <c r="AY17" i="121"/>
  <c r="AZ17" i="121"/>
  <c r="BA17" i="121"/>
  <c r="BB17" i="121"/>
  <c r="AK18" i="121"/>
  <c r="AL18" i="121"/>
  <c r="AM18" i="121"/>
  <c r="AN18" i="121"/>
  <c r="AO18" i="121"/>
  <c r="AP18" i="121"/>
  <c r="AQ18" i="121"/>
  <c r="AR18" i="121"/>
  <c r="AS18" i="121"/>
  <c r="AT18" i="121"/>
  <c r="AU18" i="121"/>
  <c r="AV18" i="121"/>
  <c r="AW18" i="121"/>
  <c r="AX18" i="121"/>
  <c r="AY18" i="121"/>
  <c r="AZ18" i="121"/>
  <c r="BA18" i="121"/>
  <c r="BB18" i="121"/>
  <c r="AK19" i="121"/>
  <c r="AL19" i="121"/>
  <c r="AM19" i="121"/>
  <c r="AN19" i="121"/>
  <c r="AO19" i="121"/>
  <c r="AP19" i="121"/>
  <c r="AQ19" i="121"/>
  <c r="AR19" i="121"/>
  <c r="AS19" i="121"/>
  <c r="AT19" i="121"/>
  <c r="AU19" i="121"/>
  <c r="AV19" i="121"/>
  <c r="AW19" i="121"/>
  <c r="AX19" i="121"/>
  <c r="AY19" i="121"/>
  <c r="AZ19" i="121"/>
  <c r="BA19" i="121"/>
  <c r="BB19" i="121"/>
  <c r="AK20" i="121"/>
  <c r="AL20" i="121"/>
  <c r="AM20" i="121"/>
  <c r="AN20" i="121"/>
  <c r="AO20" i="121"/>
  <c r="AP20" i="121"/>
  <c r="AQ20" i="121"/>
  <c r="AR20" i="121"/>
  <c r="AS20" i="121"/>
  <c r="AT20" i="121"/>
  <c r="AU20" i="121"/>
  <c r="AV20" i="121"/>
  <c r="AW20" i="121"/>
  <c r="AX20" i="121"/>
  <c r="AY20" i="121"/>
  <c r="AZ20" i="121"/>
  <c r="BA20" i="121"/>
  <c r="BB20" i="121"/>
  <c r="AK21" i="121"/>
  <c r="AL21" i="121"/>
  <c r="AM21" i="121"/>
  <c r="AN21" i="121"/>
  <c r="AO21" i="121"/>
  <c r="AP21" i="121"/>
  <c r="AQ21" i="121"/>
  <c r="AR21" i="121"/>
  <c r="AS21" i="121"/>
  <c r="AT21" i="121"/>
  <c r="AU21" i="121"/>
  <c r="AV21" i="121"/>
  <c r="AW21" i="121"/>
  <c r="AX21" i="121"/>
  <c r="AY21" i="121"/>
  <c r="AZ21" i="121"/>
  <c r="BA21" i="121"/>
  <c r="BB21" i="121"/>
  <c r="AK22" i="121"/>
  <c r="AL22" i="121"/>
  <c r="AM22" i="121"/>
  <c r="AN22" i="121"/>
  <c r="AO22" i="121"/>
  <c r="AP22" i="121"/>
  <c r="AQ22" i="121"/>
  <c r="AR22" i="121"/>
  <c r="AS22" i="121"/>
  <c r="AT22" i="121"/>
  <c r="AU22" i="121"/>
  <c r="AV22" i="121"/>
  <c r="AW22" i="121"/>
  <c r="AX22" i="121"/>
  <c r="AY22" i="121"/>
  <c r="AZ22" i="121"/>
  <c r="BA22" i="121"/>
  <c r="BB22" i="121"/>
  <c r="AK23" i="121"/>
  <c r="AL23" i="121"/>
  <c r="AM23" i="121"/>
  <c r="AN23" i="121"/>
  <c r="AO23" i="121"/>
  <c r="AP23" i="121"/>
  <c r="AQ23" i="121"/>
  <c r="AR23" i="121"/>
  <c r="AS23" i="121"/>
  <c r="AT23" i="121"/>
  <c r="AU23" i="121"/>
  <c r="AV23" i="121"/>
  <c r="AW23" i="121"/>
  <c r="AX23" i="121"/>
  <c r="AY23" i="121"/>
  <c r="AZ23" i="121"/>
  <c r="BA23" i="121"/>
  <c r="BB23" i="121"/>
  <c r="AK24" i="121"/>
  <c r="AL24" i="121"/>
  <c r="AM24" i="121"/>
  <c r="AN24" i="121"/>
  <c r="AO24" i="121"/>
  <c r="AP24" i="121"/>
  <c r="AQ24" i="121"/>
  <c r="AR24" i="121"/>
  <c r="AS24" i="121"/>
  <c r="AT24" i="121"/>
  <c r="AU24" i="121"/>
  <c r="AV24" i="121"/>
  <c r="AW24" i="121"/>
  <c r="AX24" i="121"/>
  <c r="AY24" i="121"/>
  <c r="AZ24" i="121"/>
  <c r="BA24" i="121"/>
  <c r="BB24" i="121"/>
  <c r="AK25" i="121"/>
  <c r="AL25" i="121"/>
  <c r="AM25" i="121"/>
  <c r="AN25" i="121"/>
  <c r="AO25" i="121"/>
  <c r="AP25" i="121"/>
  <c r="AQ25" i="121"/>
  <c r="AR25" i="121"/>
  <c r="AS25" i="121"/>
  <c r="AT25" i="121"/>
  <c r="AU25" i="121"/>
  <c r="AV25" i="121"/>
  <c r="AW25" i="121"/>
  <c r="AX25" i="121"/>
  <c r="AY25" i="121"/>
  <c r="AZ25" i="121"/>
  <c r="BA25" i="121"/>
  <c r="BB25" i="121"/>
  <c r="AK26" i="121"/>
  <c r="AL26" i="121"/>
  <c r="AM26" i="121"/>
  <c r="AN26" i="121"/>
  <c r="AO26" i="121"/>
  <c r="AP26" i="121"/>
  <c r="AQ26" i="121"/>
  <c r="AR26" i="121"/>
  <c r="AS26" i="121"/>
  <c r="AT26" i="121"/>
  <c r="AU26" i="121"/>
  <c r="AV26" i="121"/>
  <c r="AW26" i="121"/>
  <c r="AX26" i="121"/>
  <c r="AY26" i="121"/>
  <c r="AZ26" i="121"/>
  <c r="BA26" i="121"/>
  <c r="BB26" i="121"/>
  <c r="AK27" i="121"/>
  <c r="AL27" i="121"/>
  <c r="AM27" i="121"/>
  <c r="AN27" i="121"/>
  <c r="AO27" i="121"/>
  <c r="AP27" i="121"/>
  <c r="AQ27" i="121"/>
  <c r="AR27" i="121"/>
  <c r="AS27" i="121"/>
  <c r="AT27" i="121"/>
  <c r="AU27" i="121"/>
  <c r="AV27" i="121"/>
  <c r="AW27" i="121"/>
  <c r="AX27" i="121"/>
  <c r="AY27" i="121"/>
  <c r="AZ27" i="121"/>
  <c r="BA27" i="121"/>
  <c r="BB27" i="121"/>
  <c r="AK28" i="121"/>
  <c r="AL28" i="121"/>
  <c r="AM28" i="121"/>
  <c r="AN28" i="121"/>
  <c r="AO28" i="121"/>
  <c r="AP28" i="121"/>
  <c r="AQ28" i="121"/>
  <c r="AR28" i="121"/>
  <c r="AS28" i="121"/>
  <c r="AT28" i="121"/>
  <c r="AU28" i="121"/>
  <c r="AV28" i="121"/>
  <c r="AW28" i="121"/>
  <c r="AX28" i="121"/>
  <c r="AY28" i="121"/>
  <c r="AZ28" i="121"/>
  <c r="BA28" i="121"/>
  <c r="BB28" i="121"/>
  <c r="AK29" i="121"/>
  <c r="AL29" i="121"/>
  <c r="AM29" i="121"/>
  <c r="AN29" i="121"/>
  <c r="AO29" i="121"/>
  <c r="AP29" i="121"/>
  <c r="AQ29" i="121"/>
  <c r="AR29" i="121"/>
  <c r="AS29" i="121"/>
  <c r="AT29" i="121"/>
  <c r="AU29" i="121"/>
  <c r="AV29" i="121"/>
  <c r="AW29" i="121"/>
  <c r="AX29" i="121"/>
  <c r="AY29" i="121"/>
  <c r="AZ29" i="121"/>
  <c r="BA29" i="121"/>
  <c r="BB29" i="121"/>
  <c r="AK30" i="121"/>
  <c r="AL30" i="121"/>
  <c r="AM30" i="121"/>
  <c r="AN30" i="121"/>
  <c r="AO30" i="121"/>
  <c r="AP30" i="121"/>
  <c r="AQ30" i="121"/>
  <c r="AR30" i="121"/>
  <c r="AS30" i="121"/>
  <c r="AT30" i="121"/>
  <c r="AU30" i="121"/>
  <c r="AV30" i="121"/>
  <c r="AW30" i="121"/>
  <c r="AX30" i="121"/>
  <c r="AY30" i="121"/>
  <c r="AZ30" i="121"/>
  <c r="BA30" i="121"/>
  <c r="BB30" i="121"/>
  <c r="AK31" i="121"/>
  <c r="AL31" i="121"/>
  <c r="AM31" i="121"/>
  <c r="AN31" i="121"/>
  <c r="AO31" i="121"/>
  <c r="AP31" i="121"/>
  <c r="AQ31" i="121"/>
  <c r="AR31" i="121"/>
  <c r="AS31" i="121"/>
  <c r="AT31" i="121"/>
  <c r="AU31" i="121"/>
  <c r="AV31" i="121"/>
  <c r="AW31" i="121"/>
  <c r="AX31" i="121"/>
  <c r="AY31" i="121"/>
  <c r="AZ31" i="121"/>
  <c r="BA31" i="121"/>
  <c r="BB31" i="121"/>
  <c r="AK32" i="121"/>
  <c r="AL32" i="121"/>
  <c r="AM32" i="121"/>
  <c r="AN32" i="121"/>
  <c r="AO32" i="121"/>
  <c r="AP32" i="121"/>
  <c r="AQ32" i="121"/>
  <c r="AR32" i="121"/>
  <c r="AS32" i="121"/>
  <c r="AT32" i="121"/>
  <c r="AU32" i="121"/>
  <c r="AV32" i="121"/>
  <c r="AW32" i="121"/>
  <c r="AX32" i="121"/>
  <c r="AY32" i="121"/>
  <c r="AZ32" i="121"/>
  <c r="BA32" i="121"/>
  <c r="BB32" i="121"/>
  <c r="AK33" i="121"/>
  <c r="AL33" i="121"/>
  <c r="AM33" i="121"/>
  <c r="AN33" i="121"/>
  <c r="AO33" i="121"/>
  <c r="AP33" i="121"/>
  <c r="AQ33" i="121"/>
  <c r="AR33" i="121"/>
  <c r="AS33" i="121"/>
  <c r="AT33" i="121"/>
  <c r="AU33" i="121"/>
  <c r="AV33" i="121"/>
  <c r="AW33" i="121"/>
  <c r="AX33" i="121"/>
  <c r="AY33" i="121"/>
  <c r="AZ33" i="121"/>
  <c r="BA33" i="121"/>
  <c r="BB33" i="121"/>
  <c r="AK34" i="121"/>
  <c r="AL34" i="121"/>
  <c r="AM34" i="121"/>
  <c r="AN34" i="121"/>
  <c r="AO34" i="121"/>
  <c r="AP34" i="121"/>
  <c r="AQ34" i="121"/>
  <c r="AR34" i="121"/>
  <c r="AS34" i="121"/>
  <c r="AT34" i="121"/>
  <c r="AU34" i="121"/>
  <c r="AV34" i="121"/>
  <c r="AW34" i="121"/>
  <c r="AX34" i="121"/>
  <c r="AY34" i="121"/>
  <c r="AZ34" i="121"/>
  <c r="BA34" i="121"/>
  <c r="BB34" i="121"/>
  <c r="AK35" i="121"/>
  <c r="AL35" i="121"/>
  <c r="AM35" i="121"/>
  <c r="AN35" i="121"/>
  <c r="AO35" i="121"/>
  <c r="AP35" i="121"/>
  <c r="AQ35" i="121"/>
  <c r="AR35" i="121"/>
  <c r="AS35" i="121"/>
  <c r="AT35" i="121"/>
  <c r="AU35" i="121"/>
  <c r="AV35" i="121"/>
  <c r="AW35" i="121"/>
  <c r="AX35" i="121"/>
  <c r="AY35" i="121"/>
  <c r="AZ35" i="121"/>
  <c r="BA35" i="121"/>
  <c r="BB35" i="121"/>
  <c r="AK36" i="121"/>
  <c r="AL36" i="121"/>
  <c r="AM36" i="121"/>
  <c r="AN36" i="121"/>
  <c r="AO36" i="121"/>
  <c r="AP36" i="121"/>
  <c r="AQ36" i="121"/>
  <c r="AR36" i="121"/>
  <c r="AS36" i="121"/>
  <c r="AT36" i="121"/>
  <c r="AU36" i="121"/>
  <c r="AV36" i="121"/>
  <c r="AW36" i="121"/>
  <c r="AX36" i="121"/>
  <c r="AY36" i="121"/>
  <c r="AZ36" i="121"/>
  <c r="BA36" i="121"/>
  <c r="BB36" i="121"/>
  <c r="AK37" i="121"/>
  <c r="AL37" i="121"/>
  <c r="AM37" i="121"/>
  <c r="AN37" i="121"/>
  <c r="AO37" i="121"/>
  <c r="AP37" i="121"/>
  <c r="AQ37" i="121"/>
  <c r="AR37" i="121"/>
  <c r="AS37" i="121"/>
  <c r="AT37" i="121"/>
  <c r="AU37" i="121"/>
  <c r="AV37" i="121"/>
  <c r="AW37" i="121"/>
  <c r="AX37" i="121"/>
  <c r="AY37" i="121"/>
  <c r="AZ37" i="121"/>
  <c r="BA37" i="121"/>
  <c r="BB37" i="121"/>
  <c r="AK38" i="121"/>
  <c r="AL38" i="121"/>
  <c r="AM38" i="121"/>
  <c r="AN38" i="121"/>
  <c r="AO38" i="121"/>
  <c r="AP38" i="121"/>
  <c r="AQ38" i="121"/>
  <c r="AR38" i="121"/>
  <c r="AS38" i="121"/>
  <c r="AT38" i="121"/>
  <c r="AU38" i="121"/>
  <c r="AV38" i="121"/>
  <c r="AW38" i="121"/>
  <c r="AX38" i="121"/>
  <c r="AY38" i="121"/>
  <c r="AZ38" i="121"/>
  <c r="BA38" i="121"/>
  <c r="BB38" i="121"/>
  <c r="AK39" i="121"/>
  <c r="AL39" i="121"/>
  <c r="AM39" i="121"/>
  <c r="AN39" i="121"/>
  <c r="AO39" i="121"/>
  <c r="AP39" i="121"/>
  <c r="AQ39" i="121"/>
  <c r="AR39" i="121"/>
  <c r="AS39" i="121"/>
  <c r="AT39" i="121"/>
  <c r="AU39" i="121"/>
  <c r="AV39" i="121"/>
  <c r="AW39" i="121"/>
  <c r="AX39" i="121"/>
  <c r="AY39" i="121"/>
  <c r="AZ39" i="121"/>
  <c r="BA39" i="121"/>
  <c r="BB39" i="121"/>
  <c r="AK40" i="121"/>
  <c r="AL40" i="121"/>
  <c r="AM40" i="121"/>
  <c r="AN40" i="121"/>
  <c r="AO40" i="121"/>
  <c r="AP40" i="121"/>
  <c r="AQ40" i="121"/>
  <c r="AR40" i="121"/>
  <c r="AS40" i="121"/>
  <c r="AT40" i="121"/>
  <c r="AU40" i="121"/>
  <c r="AV40" i="121"/>
  <c r="AW40" i="121"/>
  <c r="AX40" i="121"/>
  <c r="AY40" i="121"/>
  <c r="AZ40" i="121"/>
  <c r="BA40" i="121"/>
  <c r="BB40" i="121"/>
  <c r="AK41" i="121"/>
  <c r="AL41" i="121"/>
  <c r="AM41" i="121"/>
  <c r="AN41" i="121"/>
  <c r="AO41" i="121"/>
  <c r="AP41" i="121"/>
  <c r="AQ41" i="121"/>
  <c r="AR41" i="121"/>
  <c r="AS41" i="121"/>
  <c r="AT41" i="121"/>
  <c r="AU41" i="121"/>
  <c r="AV41" i="121"/>
  <c r="AW41" i="121"/>
  <c r="AX41" i="121"/>
  <c r="AY41" i="121"/>
  <c r="AZ41" i="121"/>
  <c r="BA41" i="121"/>
  <c r="BB41" i="121"/>
  <c r="AK42" i="121"/>
  <c r="AL42" i="121"/>
  <c r="AM42" i="121"/>
  <c r="AN42" i="121"/>
  <c r="AO42" i="121"/>
  <c r="AP42" i="121"/>
  <c r="AQ42" i="121"/>
  <c r="AR42" i="121"/>
  <c r="AS42" i="121"/>
  <c r="AT42" i="121"/>
  <c r="AU42" i="121"/>
  <c r="AV42" i="121"/>
  <c r="AW42" i="121"/>
  <c r="AX42" i="121"/>
  <c r="AY42" i="121"/>
  <c r="AZ42" i="121"/>
  <c r="BA42" i="121"/>
  <c r="BB42" i="121"/>
  <c r="AK43" i="121"/>
  <c r="AL43" i="121"/>
  <c r="AM43" i="121"/>
  <c r="AN43" i="121"/>
  <c r="AO43" i="121"/>
  <c r="AP43" i="121"/>
  <c r="AQ43" i="121"/>
  <c r="AR43" i="121"/>
  <c r="AS43" i="121"/>
  <c r="AT43" i="121"/>
  <c r="AU43" i="121"/>
  <c r="AV43" i="121"/>
  <c r="AW43" i="121"/>
  <c r="AX43" i="121"/>
  <c r="AY43" i="121"/>
  <c r="AZ43" i="121"/>
  <c r="BA43" i="121"/>
  <c r="BB43" i="121"/>
  <c r="AK44" i="121"/>
  <c r="AL44" i="121"/>
  <c r="AM44" i="121"/>
  <c r="AN44" i="121"/>
  <c r="AO44" i="121"/>
  <c r="AP44" i="121"/>
  <c r="AQ44" i="121"/>
  <c r="AR44" i="121"/>
  <c r="AS44" i="121"/>
  <c r="AT44" i="121"/>
  <c r="AU44" i="121"/>
  <c r="AV44" i="121"/>
  <c r="AW44" i="121"/>
  <c r="AX44" i="121"/>
  <c r="AY44" i="121"/>
  <c r="AZ44" i="121"/>
  <c r="BA44" i="121"/>
  <c r="BB44" i="121"/>
  <c r="AK45" i="121"/>
  <c r="AL45" i="121"/>
  <c r="AM45" i="121"/>
  <c r="AN45" i="121"/>
  <c r="AO45" i="121"/>
  <c r="AP45" i="121"/>
  <c r="AQ45" i="121"/>
  <c r="AR45" i="121"/>
  <c r="AS45" i="121"/>
  <c r="AT45" i="121"/>
  <c r="AU45" i="121"/>
  <c r="AV45" i="121"/>
  <c r="AW45" i="121"/>
  <c r="AX45" i="121"/>
  <c r="AY45" i="121"/>
  <c r="AZ45" i="121"/>
  <c r="BA45" i="121"/>
  <c r="BB45" i="121"/>
  <c r="AK46" i="121"/>
  <c r="AL46" i="121"/>
  <c r="AM46" i="121"/>
  <c r="AN46" i="121"/>
  <c r="AO46" i="121"/>
  <c r="AP46" i="121"/>
  <c r="AQ46" i="121"/>
  <c r="AR46" i="121"/>
  <c r="AS46" i="121"/>
  <c r="AT46" i="121"/>
  <c r="AU46" i="121"/>
  <c r="AV46" i="121"/>
  <c r="AW46" i="121"/>
  <c r="AX46" i="121"/>
  <c r="AY46" i="121"/>
  <c r="AZ46" i="121"/>
  <c r="BA46" i="121"/>
  <c r="BB46" i="121"/>
  <c r="AK47" i="121"/>
  <c r="AL47" i="121"/>
  <c r="AM47" i="121"/>
  <c r="AN47" i="121"/>
  <c r="AO47" i="121"/>
  <c r="AP47" i="121"/>
  <c r="AQ47" i="121"/>
  <c r="AR47" i="121"/>
  <c r="AS47" i="121"/>
  <c r="AT47" i="121"/>
  <c r="AU47" i="121"/>
  <c r="AV47" i="121"/>
  <c r="AW47" i="121"/>
  <c r="AX47" i="121"/>
  <c r="AY47" i="121"/>
  <c r="AZ47" i="121"/>
  <c r="BA47" i="121"/>
  <c r="BB47" i="121"/>
  <c r="AK48" i="121"/>
  <c r="AL48" i="121"/>
  <c r="AM48" i="121"/>
  <c r="AN48" i="121"/>
  <c r="AO48" i="121"/>
  <c r="AP48" i="121"/>
  <c r="AQ48" i="121"/>
  <c r="AR48" i="121"/>
  <c r="AS48" i="121"/>
  <c r="AT48" i="121"/>
  <c r="AU48" i="121"/>
  <c r="AV48" i="121"/>
  <c r="AW48" i="121"/>
  <c r="AX48" i="121"/>
  <c r="AY48" i="121"/>
  <c r="AZ48" i="121"/>
  <c r="BA48" i="121"/>
  <c r="BB48" i="121"/>
  <c r="AK49" i="121"/>
  <c r="AL49" i="121"/>
  <c r="AM49" i="121"/>
  <c r="AN49" i="121"/>
  <c r="AO49" i="121"/>
  <c r="AP49" i="121"/>
  <c r="AQ49" i="121"/>
  <c r="AR49" i="121"/>
  <c r="AS49" i="121"/>
  <c r="AT49" i="121"/>
  <c r="AU49" i="121"/>
  <c r="AV49" i="121"/>
  <c r="AW49" i="121"/>
  <c r="AX49" i="121"/>
  <c r="AY49" i="121"/>
  <c r="AZ49" i="121"/>
  <c r="BA49" i="121"/>
  <c r="BB49" i="121"/>
  <c r="AK50" i="121"/>
  <c r="AL50" i="121"/>
  <c r="AM50" i="121"/>
  <c r="AN50" i="121"/>
  <c r="AO50" i="121"/>
  <c r="AP50" i="121"/>
  <c r="AQ50" i="121"/>
  <c r="AR50" i="121"/>
  <c r="AS50" i="121"/>
  <c r="AT50" i="121"/>
  <c r="AU50" i="121"/>
  <c r="AV50" i="121"/>
  <c r="AW50" i="121"/>
  <c r="AX50" i="121"/>
  <c r="AY50" i="121"/>
  <c r="AZ50" i="121"/>
  <c r="BA50" i="121"/>
  <c r="BB50" i="121"/>
  <c r="AK51" i="121"/>
  <c r="AL51" i="121"/>
  <c r="AM51" i="121"/>
  <c r="AN51" i="121"/>
  <c r="AO51" i="121"/>
  <c r="AP51" i="121"/>
  <c r="AQ51" i="121"/>
  <c r="AR51" i="121"/>
  <c r="AS51" i="121"/>
  <c r="AT51" i="121"/>
  <c r="AU51" i="121"/>
  <c r="AV51" i="121"/>
  <c r="AW51" i="121"/>
  <c r="AX51" i="121"/>
  <c r="AY51" i="121"/>
  <c r="AZ51" i="121"/>
  <c r="BA51" i="121"/>
  <c r="BB51" i="121"/>
  <c r="AK52" i="121"/>
  <c r="AL52" i="121"/>
  <c r="AM52" i="121"/>
  <c r="AN52" i="121"/>
  <c r="AO52" i="121"/>
  <c r="AP52" i="121"/>
  <c r="AQ52" i="121"/>
  <c r="AR52" i="121"/>
  <c r="AS52" i="121"/>
  <c r="AT52" i="121"/>
  <c r="AU52" i="121"/>
  <c r="AV52" i="121"/>
  <c r="AW52" i="121"/>
  <c r="AX52" i="121"/>
  <c r="AY52" i="121"/>
  <c r="AZ52" i="121"/>
  <c r="BA52" i="121"/>
  <c r="BB52" i="121"/>
  <c r="AK53" i="121"/>
  <c r="AL53" i="121"/>
  <c r="AM53" i="121"/>
  <c r="AN53" i="121"/>
  <c r="AO53" i="121"/>
  <c r="AP53" i="121"/>
  <c r="AQ53" i="121"/>
  <c r="AR53" i="121"/>
  <c r="AS53" i="121"/>
  <c r="AT53" i="121"/>
  <c r="AU53" i="121"/>
  <c r="AV53" i="121"/>
  <c r="AW53" i="121"/>
  <c r="AX53" i="121"/>
  <c r="AY53" i="121"/>
  <c r="AZ53" i="121"/>
  <c r="BA53" i="121"/>
  <c r="BB53" i="121"/>
  <c r="AK54" i="121"/>
  <c r="AL54" i="121"/>
  <c r="AM54" i="121"/>
  <c r="AN54" i="121"/>
  <c r="AO54" i="121"/>
  <c r="AP54" i="121"/>
  <c r="AQ54" i="121"/>
  <c r="AR54" i="121"/>
  <c r="AS54" i="121"/>
  <c r="AT54" i="121"/>
  <c r="AU54" i="121"/>
  <c r="AV54" i="121"/>
  <c r="AW54" i="121"/>
  <c r="AX54" i="121"/>
  <c r="AY54" i="121"/>
  <c r="AZ54" i="121"/>
  <c r="BA54" i="121"/>
  <c r="BB54" i="121"/>
  <c r="AK55" i="121"/>
  <c r="AL55" i="121"/>
  <c r="AM55" i="121"/>
  <c r="AN55" i="121"/>
  <c r="AO55" i="121"/>
  <c r="AP55" i="121"/>
  <c r="AQ55" i="121"/>
  <c r="AR55" i="121"/>
  <c r="AS55" i="121"/>
  <c r="AT55" i="121"/>
  <c r="AU55" i="121"/>
  <c r="AV55" i="121"/>
  <c r="AW55" i="121"/>
  <c r="AX55" i="121"/>
  <c r="AY55" i="121"/>
  <c r="AZ55" i="121"/>
  <c r="BA55" i="121"/>
  <c r="BB55" i="121"/>
  <c r="AK56" i="121"/>
  <c r="AL56" i="121"/>
  <c r="AM56" i="121"/>
  <c r="AN56" i="121"/>
  <c r="AO56" i="121"/>
  <c r="AP56" i="121"/>
  <c r="AQ56" i="121"/>
  <c r="AR56" i="121"/>
  <c r="AS56" i="121"/>
  <c r="AT56" i="121"/>
  <c r="AU56" i="121"/>
  <c r="AV56" i="121"/>
  <c r="AW56" i="121"/>
  <c r="AX56" i="121"/>
  <c r="AY56" i="121"/>
  <c r="AZ56" i="121"/>
  <c r="BA56" i="121"/>
  <c r="BB56" i="121"/>
  <c r="AK57" i="121"/>
  <c r="AL57" i="121"/>
  <c r="AM57" i="121"/>
  <c r="AN57" i="121"/>
  <c r="AO57" i="121"/>
  <c r="AP57" i="121"/>
  <c r="AQ57" i="121"/>
  <c r="AR57" i="121"/>
  <c r="AS57" i="121"/>
  <c r="AT57" i="121"/>
  <c r="AU57" i="121"/>
  <c r="AV57" i="121"/>
  <c r="AW57" i="121"/>
  <c r="AX57" i="121"/>
  <c r="AY57" i="121"/>
  <c r="AZ57" i="121"/>
  <c r="BA57" i="121"/>
  <c r="BB57" i="121"/>
  <c r="AK58" i="121"/>
  <c r="AL58" i="121"/>
  <c r="AM58" i="121"/>
  <c r="AN58" i="121"/>
  <c r="AO58" i="121"/>
  <c r="AP58" i="121"/>
  <c r="AQ58" i="121"/>
  <c r="AR58" i="121"/>
  <c r="AS58" i="121"/>
  <c r="AT58" i="121"/>
  <c r="AU58" i="121"/>
  <c r="AV58" i="121"/>
  <c r="AW58" i="121"/>
  <c r="AX58" i="121"/>
  <c r="AY58" i="121"/>
  <c r="AZ58" i="121"/>
  <c r="BA58" i="121"/>
  <c r="BB58" i="121"/>
  <c r="AK59" i="121"/>
  <c r="AL59" i="121"/>
  <c r="AM59" i="121"/>
  <c r="AN59" i="121"/>
  <c r="AO59" i="121"/>
  <c r="AP59" i="121"/>
  <c r="AQ59" i="121"/>
  <c r="AR59" i="121"/>
  <c r="AS59" i="121"/>
  <c r="AT59" i="121"/>
  <c r="AU59" i="121"/>
  <c r="AV59" i="121"/>
  <c r="AW59" i="121"/>
  <c r="AX59" i="121"/>
  <c r="AY59" i="121"/>
  <c r="AZ59" i="121"/>
  <c r="BA59" i="121"/>
  <c r="BB59" i="121"/>
  <c r="AK60" i="121"/>
  <c r="AL60" i="121"/>
  <c r="AM60" i="121"/>
  <c r="AN60" i="121"/>
  <c r="AO60" i="121"/>
  <c r="AP60" i="121"/>
  <c r="AQ60" i="121"/>
  <c r="AR60" i="121"/>
  <c r="AS60" i="121"/>
  <c r="AT60" i="121"/>
  <c r="AU60" i="121"/>
  <c r="AV60" i="121"/>
  <c r="AW60" i="121"/>
  <c r="AX60" i="121"/>
  <c r="AY60" i="121"/>
  <c r="AZ60" i="121"/>
  <c r="BA60" i="121"/>
  <c r="BB60" i="121"/>
  <c r="AK61" i="121"/>
  <c r="AL61" i="121"/>
  <c r="AM61" i="121"/>
  <c r="AN61" i="121"/>
  <c r="AO61" i="121"/>
  <c r="AP61" i="121"/>
  <c r="AQ61" i="121"/>
  <c r="AR61" i="121"/>
  <c r="AS61" i="121"/>
  <c r="AT61" i="121"/>
  <c r="AU61" i="121"/>
  <c r="AV61" i="121"/>
  <c r="AW61" i="121"/>
  <c r="AX61" i="121"/>
  <c r="AY61" i="121"/>
  <c r="AZ61" i="121"/>
  <c r="BA61" i="121"/>
  <c r="BB61" i="121"/>
  <c r="AK62" i="121"/>
  <c r="AL62" i="121"/>
  <c r="AM62" i="121"/>
  <c r="AN62" i="121"/>
  <c r="AO62" i="121"/>
  <c r="AP62" i="121"/>
  <c r="AQ62" i="121"/>
  <c r="AR62" i="121"/>
  <c r="AS62" i="121"/>
  <c r="AT62" i="121"/>
  <c r="AU62" i="121"/>
  <c r="AV62" i="121"/>
  <c r="AW62" i="121"/>
  <c r="AX62" i="121"/>
  <c r="AY62" i="121"/>
  <c r="AZ62" i="121"/>
  <c r="BA62" i="121"/>
  <c r="BB62" i="121"/>
  <c r="AK63" i="121"/>
  <c r="AL63" i="121"/>
  <c r="AM63" i="121"/>
  <c r="AN63" i="121"/>
  <c r="AO63" i="121"/>
  <c r="AP63" i="121"/>
  <c r="AQ63" i="121"/>
  <c r="AR63" i="121"/>
  <c r="AS63" i="121"/>
  <c r="AT63" i="121"/>
  <c r="AU63" i="121"/>
  <c r="AV63" i="121"/>
  <c r="AW63" i="121"/>
  <c r="AX63" i="121"/>
  <c r="AY63" i="121"/>
  <c r="AZ63" i="121"/>
  <c r="BA63" i="121"/>
  <c r="BB63" i="121"/>
  <c r="AK64" i="121"/>
  <c r="AL64" i="121"/>
  <c r="AM64" i="121"/>
  <c r="AN64" i="121"/>
  <c r="AO64" i="121"/>
  <c r="AP64" i="121"/>
  <c r="AQ64" i="121"/>
  <c r="AR64" i="121"/>
  <c r="AS64" i="121"/>
  <c r="AT64" i="121"/>
  <c r="AU64" i="121"/>
  <c r="AV64" i="121"/>
  <c r="AW64" i="121"/>
  <c r="AX64" i="121"/>
  <c r="AY64" i="121"/>
  <c r="AZ64" i="121"/>
  <c r="BA64" i="121"/>
  <c r="BB64" i="121"/>
  <c r="AK65" i="121"/>
  <c r="AL65" i="121"/>
  <c r="AM65" i="121"/>
  <c r="AN65" i="121"/>
  <c r="AO65" i="121"/>
  <c r="AP65" i="121"/>
  <c r="AQ65" i="121"/>
  <c r="AR65" i="121"/>
  <c r="AS65" i="121"/>
  <c r="AT65" i="121"/>
  <c r="AU65" i="121"/>
  <c r="AV65" i="121"/>
  <c r="AW65" i="121"/>
  <c r="AX65" i="121"/>
  <c r="AY65" i="121"/>
  <c r="AZ65" i="121"/>
  <c r="BA65" i="121"/>
  <c r="BB65" i="121"/>
  <c r="AK66" i="121"/>
  <c r="AL66" i="121"/>
  <c r="AM66" i="121"/>
  <c r="AN66" i="121"/>
  <c r="AO66" i="121"/>
  <c r="AP66" i="121"/>
  <c r="AQ66" i="121"/>
  <c r="AR66" i="121"/>
  <c r="AS66" i="121"/>
  <c r="AT66" i="121"/>
  <c r="AU66" i="121"/>
  <c r="AV66" i="121"/>
  <c r="AW66" i="121"/>
  <c r="AX66" i="121"/>
  <c r="AY66" i="121"/>
  <c r="AZ66" i="121"/>
  <c r="BA66" i="121"/>
  <c r="BB66" i="121"/>
  <c r="AK67" i="121"/>
  <c r="AL67" i="121"/>
  <c r="AM67" i="121"/>
  <c r="AN67" i="121"/>
  <c r="AO67" i="121"/>
  <c r="AP67" i="121"/>
  <c r="AQ67" i="121"/>
  <c r="AR67" i="121"/>
  <c r="AS67" i="121"/>
  <c r="AT67" i="121"/>
  <c r="AU67" i="121"/>
  <c r="AV67" i="121"/>
  <c r="AW67" i="121"/>
  <c r="AX67" i="121"/>
  <c r="AY67" i="121"/>
  <c r="AZ67" i="121"/>
  <c r="BA67" i="121"/>
  <c r="BB67" i="121"/>
  <c r="AL4" i="121"/>
  <c r="AM4" i="121"/>
  <c r="AN4" i="121"/>
  <c r="AO4" i="121"/>
  <c r="AP4" i="121"/>
  <c r="AQ4" i="121"/>
  <c r="AR4" i="121"/>
  <c r="AS4" i="121"/>
  <c r="AT4" i="121"/>
  <c r="AU4" i="121"/>
  <c r="AV4" i="121"/>
  <c r="AW4" i="121"/>
  <c r="AX4" i="121"/>
  <c r="AY4" i="121"/>
  <c r="AZ4" i="121"/>
  <c r="BA4" i="121"/>
  <c r="BB4" i="121"/>
  <c r="AK4" i="121"/>
  <c r="D13" i="122"/>
  <c r="D14" i="122"/>
  <c r="D15" i="122"/>
  <c r="D16" i="122"/>
  <c r="D17" i="122"/>
  <c r="D18" i="122"/>
  <c r="D19" i="122"/>
  <c r="D20" i="122"/>
  <c r="D12" i="122"/>
  <c r="AD14" i="118"/>
  <c r="AE50" i="118"/>
  <c r="AE51" i="118"/>
  <c r="AE52" i="118"/>
  <c r="AE53" i="118"/>
  <c r="AE54" i="118"/>
  <c r="AE55" i="118"/>
  <c r="AE56" i="118"/>
  <c r="AE57" i="118"/>
  <c r="AE58" i="118"/>
  <c r="AE59" i="118"/>
  <c r="AE60" i="118"/>
  <c r="AE61" i="118"/>
  <c r="AE62" i="118"/>
  <c r="AE63" i="118"/>
  <c r="AE64" i="118"/>
  <c r="AE65" i="118"/>
  <c r="AE66" i="118"/>
  <c r="AE67" i="118"/>
  <c r="AE68" i="118"/>
  <c r="AE69" i="118"/>
  <c r="AE70" i="118"/>
  <c r="AE71" i="118"/>
  <c r="AE72" i="118"/>
  <c r="AE73" i="118"/>
  <c r="AE74" i="118"/>
  <c r="AD50" i="118"/>
  <c r="AG50" i="118" s="1"/>
  <c r="AD51" i="118"/>
  <c r="AG51" i="118" s="1"/>
  <c r="AD52" i="118"/>
  <c r="AG52" i="118" s="1"/>
  <c r="AD53" i="118"/>
  <c r="AG53" i="118" s="1"/>
  <c r="AD54" i="118"/>
  <c r="AG54" i="118" s="1"/>
  <c r="AD55" i="118"/>
  <c r="AG55" i="118" s="1"/>
  <c r="AD56" i="118"/>
  <c r="AD57" i="118"/>
  <c r="AG57" i="118" s="1"/>
  <c r="AD58" i="118"/>
  <c r="AG58" i="118" s="1"/>
  <c r="AD59" i="118"/>
  <c r="AG59" i="118" s="1"/>
  <c r="AD60" i="118"/>
  <c r="AG60" i="118" s="1"/>
  <c r="AD61" i="118"/>
  <c r="AG61" i="118" s="1"/>
  <c r="AD62" i="118"/>
  <c r="AG62" i="118" s="1"/>
  <c r="AD63" i="118"/>
  <c r="AG63" i="118" s="1"/>
  <c r="AD64" i="118"/>
  <c r="AG64" i="118" s="1"/>
  <c r="AD65" i="118"/>
  <c r="AG65" i="118" s="1"/>
  <c r="AD66" i="118"/>
  <c r="AG66" i="118" s="1"/>
  <c r="AD67" i="118"/>
  <c r="AD68" i="118"/>
  <c r="AD69" i="118"/>
  <c r="AD70" i="118"/>
  <c r="AD71" i="118"/>
  <c r="AD72" i="118"/>
  <c r="AD73" i="118"/>
  <c r="AD74" i="118"/>
  <c r="AG74" i="118" s="1"/>
  <c r="AG56" i="118" l="1"/>
  <c r="AG67" i="118"/>
  <c r="AG68" i="118"/>
  <c r="AG69" i="118"/>
  <c r="AG70" i="118"/>
  <c r="AG71" i="118"/>
  <c r="AG72" i="118"/>
  <c r="AG73" i="118"/>
  <c r="AG2" i="118" l="1"/>
  <c r="V4" i="119"/>
  <c r="AD11" i="118" l="1"/>
  <c r="AE11" i="118"/>
  <c r="AG11" i="118" l="1"/>
  <c r="O4" i="116"/>
  <c r="E4" i="119"/>
  <c r="E3" i="119"/>
  <c r="E2" i="119"/>
  <c r="E4" i="116"/>
  <c r="E3" i="116"/>
  <c r="E2" i="116"/>
  <c r="AE49" i="118"/>
  <c r="AD49" i="118"/>
  <c r="AE48" i="118"/>
  <c r="AD48" i="118"/>
  <c r="AE47" i="118"/>
  <c r="AD47" i="118"/>
  <c r="AE46" i="118"/>
  <c r="AD46" i="118"/>
  <c r="AE45" i="118"/>
  <c r="AD45" i="118"/>
  <c r="AE44" i="118"/>
  <c r="AD44" i="118"/>
  <c r="AE43" i="118"/>
  <c r="AD43" i="118"/>
  <c r="AE42" i="118"/>
  <c r="AD42" i="118"/>
  <c r="AE41" i="118"/>
  <c r="AD41" i="118"/>
  <c r="AE40" i="118"/>
  <c r="AD40" i="118"/>
  <c r="AE39" i="118"/>
  <c r="AD39" i="118"/>
  <c r="AE38" i="118"/>
  <c r="AD38" i="118"/>
  <c r="AE37" i="118"/>
  <c r="AD37" i="118"/>
  <c r="AE36" i="118"/>
  <c r="AD36" i="118"/>
  <c r="AE35" i="118"/>
  <c r="AD35" i="118"/>
  <c r="AE34" i="118"/>
  <c r="AD34" i="118"/>
  <c r="AE33" i="118"/>
  <c r="AD33" i="118"/>
  <c r="AE32" i="118"/>
  <c r="AD32" i="118"/>
  <c r="AE31" i="118"/>
  <c r="AD31" i="118"/>
  <c r="AE30" i="118"/>
  <c r="AD30" i="118"/>
  <c r="AE29" i="118"/>
  <c r="AD29" i="118"/>
  <c r="AE28" i="118"/>
  <c r="AD28" i="118"/>
  <c r="AE27" i="118"/>
  <c r="AD27" i="118"/>
  <c r="AE26" i="118"/>
  <c r="AD26" i="118"/>
  <c r="AE25" i="118"/>
  <c r="AD25" i="118"/>
  <c r="AE24" i="118"/>
  <c r="AD24" i="118"/>
  <c r="AE23" i="118"/>
  <c r="AD23" i="118"/>
  <c r="AE22" i="118"/>
  <c r="AD22" i="118"/>
  <c r="AE21" i="118"/>
  <c r="AD21" i="118"/>
  <c r="AE20" i="118"/>
  <c r="AD20" i="118"/>
  <c r="AE19" i="118"/>
  <c r="AD19" i="118"/>
  <c r="AE18" i="118"/>
  <c r="AD18" i="118"/>
  <c r="AE17" i="118"/>
  <c r="AD17" i="118"/>
  <c r="AE16" i="118"/>
  <c r="AD16" i="118"/>
  <c r="AE15" i="118"/>
  <c r="AD15" i="118"/>
  <c r="AE14" i="118"/>
  <c r="AE13" i="118"/>
  <c r="AD13" i="118"/>
  <c r="AE12" i="118"/>
  <c r="AD12" i="118"/>
  <c r="AG46" i="118" l="1"/>
  <c r="AG16" i="118"/>
  <c r="AG18" i="118"/>
  <c r="AG22" i="118"/>
  <c r="AG30" i="118"/>
  <c r="AG42" i="118"/>
  <c r="AG28" i="118"/>
  <c r="AG34" i="118"/>
  <c r="AG15" i="118"/>
  <c r="AG27" i="118"/>
  <c r="AG39" i="118"/>
  <c r="AG17" i="118"/>
  <c r="AG29" i="118"/>
  <c r="AG41" i="118"/>
  <c r="AG19" i="118"/>
  <c r="AG31" i="118"/>
  <c r="AG20" i="118"/>
  <c r="AG21" i="118"/>
  <c r="AG45" i="118"/>
  <c r="AG13" i="118"/>
  <c r="AG25" i="118"/>
  <c r="AG37" i="118"/>
  <c r="AG49" i="118"/>
  <c r="AG32" i="118"/>
  <c r="AG44" i="118"/>
  <c r="AG43" i="118"/>
  <c r="AG33" i="118"/>
  <c r="AG23" i="118"/>
  <c r="AG35" i="118"/>
  <c r="AG47" i="118"/>
  <c r="AG40" i="118"/>
  <c r="AG12" i="118"/>
  <c r="AG24" i="118"/>
  <c r="AG36" i="118"/>
  <c r="AG48" i="118"/>
  <c r="AG14" i="118"/>
  <c r="AG26" i="118"/>
  <c r="AG38" i="118"/>
  <c r="S10" i="116" l="1"/>
  <c r="S9" i="116"/>
  <c r="S11" i="116"/>
  <c r="Z10" i="119" l="1"/>
  <c r="Z9" i="119"/>
  <c r="Z11" i="119"/>
</calcChain>
</file>

<file path=xl/sharedStrings.xml><?xml version="1.0" encoding="utf-8"?>
<sst xmlns="http://schemas.openxmlformats.org/spreadsheetml/2006/main" count="2924" uniqueCount="384">
  <si>
    <t>Rev</t>
  </si>
  <si>
    <t>ESTADO DE TRÁMITES Y PERMISOS DE PROYECTOS MIXTOS, PRIMERA RONDA</t>
  </si>
  <si>
    <t>Socio</t>
  </si>
  <si>
    <t>Proyecto</t>
  </si>
  <si>
    <t>Municipio</t>
  </si>
  <si>
    <t>Estado</t>
  </si>
  <si>
    <t>Tipo</t>
  </si>
  <si>
    <t>Capacidad</t>
  </si>
  <si>
    <t>Fecha de inicio de inversión</t>
  </si>
  <si>
    <t>COD</t>
  </si>
  <si>
    <t>Avance en trámites y/o permisos</t>
  </si>
  <si>
    <t>Grupo de atención</t>
  </si>
  <si>
    <t>Parque</t>
  </si>
  <si>
    <t>LT</t>
  </si>
  <si>
    <t>Global</t>
  </si>
  <si>
    <t>A</t>
  </si>
  <si>
    <t>B</t>
  </si>
  <si>
    <t>C</t>
  </si>
  <si>
    <t>AVANCE GLOBAL</t>
  </si>
  <si>
    <t>NOTAS Y SIMBOLOGÍA</t>
  </si>
  <si>
    <t>Premisis y supuestos de análisis</t>
  </si>
  <si>
    <t>Se analizan por separado el Parque y la LT</t>
  </si>
  <si>
    <t>Trámites y/o Permisos que se incluyen en el presenta análisis</t>
  </si>
  <si>
    <t>Tenencia de la tierra (pondera 10%)</t>
  </si>
  <si>
    <t>Parque (pondera 80%)</t>
  </si>
  <si>
    <t>Estudios de Interconexión (pondera 10%)</t>
  </si>
  <si>
    <t>LT (pondera 20%)</t>
  </si>
  <si>
    <t>Manifestación de Impacto Ambientyal (ponedra 20%)</t>
  </si>
  <si>
    <t>Código de colores</t>
  </si>
  <si>
    <r>
      <rPr>
        <b/>
        <sz val="9"/>
        <rFont val="Aptos Narrow"/>
        <family val="2"/>
      </rPr>
      <t xml:space="preserve">Verde: </t>
    </r>
    <r>
      <rPr>
        <sz val="9"/>
        <rFont val="Aptos Narrow"/>
        <family val="2"/>
      </rPr>
      <t>De un 85.00% a un 100%</t>
    </r>
  </si>
  <si>
    <t>Estudio Técnico Justificativo (pondera 10%)</t>
  </si>
  <si>
    <t>Manifestación de Impacto Social (pondera 20%)</t>
  </si>
  <si>
    <t>Consulta Indígena (pondera 10%)</t>
  </si>
  <si>
    <t>(*)</t>
  </si>
  <si>
    <t>Proyecto en segunda ronda de Proyectos Mixtos</t>
  </si>
  <si>
    <t>Instituto Nacional de Antropología e Historia (pondera 5%)</t>
  </si>
  <si>
    <t>(**)</t>
  </si>
  <si>
    <t>Proyecto que no puede ser ingresado al SEN sin que entren obras de refuerzo por un tercero; según CENACE</t>
  </si>
  <si>
    <t>Comisión Nacional del Agua (pondera 5%)</t>
  </si>
  <si>
    <t>Petroleos Mexicanos (5%)</t>
  </si>
  <si>
    <t>Asgencia Federal de Aviación Civil (pondera 5%)</t>
  </si>
  <si>
    <t>Fecha de Inicio de inversión</t>
  </si>
  <si>
    <t>Trámites y Permisos del Parque</t>
  </si>
  <si>
    <t>Grupo de Atención</t>
  </si>
  <si>
    <t>Derechos inmobiliarios</t>
  </si>
  <si>
    <t>Estudios Interconexión</t>
  </si>
  <si>
    <t>ETJ</t>
  </si>
  <si>
    <t>Consulta Indígena</t>
  </si>
  <si>
    <t>PEMEX</t>
  </si>
  <si>
    <t>INAH</t>
  </si>
  <si>
    <t>CONAGUA</t>
  </si>
  <si>
    <t>AFAC</t>
  </si>
  <si>
    <t>Baja California</t>
  </si>
  <si>
    <t>N/A</t>
  </si>
  <si>
    <t>Liberado</t>
  </si>
  <si>
    <t>Altamira</t>
  </si>
  <si>
    <t>Tamaulipas</t>
  </si>
  <si>
    <t xml:space="preserve"> C</t>
  </si>
  <si>
    <t>Baja California Sur</t>
  </si>
  <si>
    <t>Guanajuato</t>
  </si>
  <si>
    <t>Coahuila</t>
  </si>
  <si>
    <t>Pendiente</t>
  </si>
  <si>
    <t>Sonora</t>
  </si>
  <si>
    <t>Reynosa</t>
  </si>
  <si>
    <t>Veracruz</t>
  </si>
  <si>
    <t>Código de colores
(CELDAS)</t>
  </si>
  <si>
    <t>Manifestación de Impacto Ambientyal (pondera 20%)</t>
  </si>
  <si>
    <t>Código de colores
(Grupo)</t>
  </si>
  <si>
    <t>COMISIÓN FEDERAL DE ELECTRICIDAD</t>
  </si>
  <si>
    <t>COORDINACIÓN DE PROYECTOS DE ENERGÍAS LIMPIAS</t>
  </si>
  <si>
    <t>GERENCIA DE CONSTRUCCIÓN</t>
  </si>
  <si>
    <t>No.</t>
  </si>
  <si>
    <t>Tecnología</t>
  </si>
  <si>
    <t>Fecha de Incio de invesión</t>
  </si>
  <si>
    <t>Derechos Inmobiliarios</t>
  </si>
  <si>
    <t>Estudios de interconexión</t>
  </si>
  <si>
    <t>Ambientales</t>
  </si>
  <si>
    <t>Social</t>
  </si>
  <si>
    <t>Dependencias</t>
  </si>
  <si>
    <t>Avance Tratimtes Parque</t>
  </si>
  <si>
    <t>Avance Tramites Línea</t>
  </si>
  <si>
    <t>Avance Trámites Proyecto</t>
  </si>
  <si>
    <t>MIA - DTU</t>
  </si>
  <si>
    <t>MISSE (EvIS)</t>
  </si>
  <si>
    <t>Fresnillo</t>
  </si>
  <si>
    <t>Zacatecas</t>
  </si>
  <si>
    <t>Nuevo León</t>
  </si>
  <si>
    <t>Los Cabos</t>
  </si>
  <si>
    <t>San Luis Río Colorado</t>
  </si>
  <si>
    <t>Tlaxcala</t>
  </si>
  <si>
    <t>Mexicali</t>
  </si>
  <si>
    <t>Ponderan</t>
  </si>
  <si>
    <t>Pondera</t>
  </si>
  <si>
    <t>Indica Proyecto que se va a segunda ronda de Proyectos Mixtos</t>
  </si>
  <si>
    <t>Indica Proyecto que no puede ser ingresado al SEN sin que entren obras de refuerzo que no son responsabilidad del Proyecto, es decir, por un tercero; según CENACE</t>
  </si>
  <si>
    <t>Fin de Construcción</t>
  </si>
  <si>
    <t>Fecha firma de contrato</t>
  </si>
  <si>
    <t>CAPEX</t>
  </si>
  <si>
    <t>SIN DATO</t>
  </si>
  <si>
    <t>Inicio de Inversión</t>
  </si>
  <si>
    <t>En elaboración</t>
  </si>
  <si>
    <t>En actualización</t>
  </si>
  <si>
    <t>En evaluación</t>
  </si>
  <si>
    <t>MIA / DTU</t>
  </si>
  <si>
    <t>MISSE / EVIS</t>
  </si>
  <si>
    <t>ID_VUPE</t>
  </si>
  <si>
    <t>HORAS DE ALMACENAMIENTO</t>
  </si>
  <si>
    <t>PRIORI</t>
  </si>
  <si>
    <t>DI_P</t>
  </si>
  <si>
    <t>DI_LT</t>
  </si>
  <si>
    <t>ES_INT</t>
  </si>
  <si>
    <t>A_MIA_P</t>
  </si>
  <si>
    <t>A_MIA_LT</t>
  </si>
  <si>
    <t>A_ETJ_P</t>
  </si>
  <si>
    <t>A_ETJ_LT</t>
  </si>
  <si>
    <t>S_MISSE_C</t>
  </si>
  <si>
    <t>S_MISSE_LT</t>
  </si>
  <si>
    <t>S_CONS</t>
  </si>
  <si>
    <t>INAH_C</t>
  </si>
  <si>
    <t>INAH_LT</t>
  </si>
  <si>
    <t>PEMEX_C</t>
  </si>
  <si>
    <t>PEMEX_LT</t>
  </si>
  <si>
    <t>CONA_C</t>
  </si>
  <si>
    <t>CONA_LT</t>
  </si>
  <si>
    <t>AFAC_C</t>
  </si>
  <si>
    <t>AFAC_LT</t>
  </si>
  <si>
    <t>NoP</t>
  </si>
  <si>
    <t>Estatus</t>
  </si>
  <si>
    <t>Descripción</t>
  </si>
  <si>
    <t>Avance (%)</t>
  </si>
  <si>
    <t>Gris</t>
  </si>
  <si>
    <t>Trámite no iniciado o sin información por parte del socio.</t>
  </si>
  <si>
    <t>Rojo</t>
  </si>
  <si>
    <t>El socio se encuentra integrando documentación y preparando el ingreso.</t>
  </si>
  <si>
    <t>Amarillo</t>
  </si>
  <si>
    <t>Trámite ingresado ante la autoridad y en proceso de revisión.</t>
  </si>
  <si>
    <t>Azul</t>
  </si>
  <si>
    <t>Verde claro</t>
  </si>
  <si>
    <t>Autorización o fallo favorable emitido por la autoridad.</t>
  </si>
  <si>
    <t>Trámite no requerido o no aplicable.</t>
  </si>
  <si>
    <t>Color</t>
  </si>
  <si>
    <t>La autoridad solicitó información adicional, aclaraciones, precisiones o se requiere una actualización derivada de cambios del socio.</t>
  </si>
  <si>
    <t>Naranja</t>
  </si>
  <si>
    <t>La información requerida fue entregada y el trámite se encuentra en revisión final para emisión del fallo.</t>
  </si>
  <si>
    <t>Requerimiento / Actualización</t>
  </si>
  <si>
    <t>0&lt;=x&lt;20%</t>
  </si>
  <si>
    <t>20&lt;=x&lt;50%</t>
  </si>
  <si>
    <t>50&lt;=x&lt;75%</t>
  </si>
  <si>
    <t>Rango (%)</t>
  </si>
  <si>
    <t>75&lt;=x&lt;85%</t>
  </si>
  <si>
    <t>85&lt;=x&lt;100%</t>
  </si>
  <si>
    <t>x=100%</t>
  </si>
  <si>
    <t>Central</t>
  </si>
  <si>
    <t>Noreste</t>
  </si>
  <si>
    <t>Occidental</t>
  </si>
  <si>
    <t>Oriental</t>
  </si>
  <si>
    <t>Jesus Gilberto Martinez Croda</t>
  </si>
  <si>
    <t>Raul Martinez Martin</t>
  </si>
  <si>
    <t>Invenergy Solar Development Mexico S de RL de CV</t>
  </si>
  <si>
    <t>Energica Tenedora de Mexico SA de CV</t>
  </si>
  <si>
    <t>Energia Firme Sigma S A P I de CV</t>
  </si>
  <si>
    <t>Electrica Aselco SA de CV</t>
  </si>
  <si>
    <t>Innovaciones Energeticas Inner SA de CV</t>
  </si>
  <si>
    <t>Atlacomulco Solar Fotovoltaica SA de CV</t>
  </si>
  <si>
    <t>Atlacomulco Solar SA de CV</t>
  </si>
  <si>
    <t>Ruenergy Projects Mexico SA de CV</t>
  </si>
  <si>
    <t>Atria Wind Farm 1 S A P I de CV</t>
  </si>
  <si>
    <t>Viva El Sol F1 S A P I de CV</t>
  </si>
  <si>
    <t>Armeria New Energy SA de CV</t>
  </si>
  <si>
    <t>Prosienergy Corporacion SA de CV</t>
  </si>
  <si>
    <t>Freeman Mezcal SA de CV</t>
  </si>
  <si>
    <t>Delaro S A P I de CV</t>
  </si>
  <si>
    <t>Tusae Energy I SA de CV</t>
  </si>
  <si>
    <t>Greendat Capital S A P I de CV</t>
  </si>
  <si>
    <t>Aquiles Capital Group S A P I de CV</t>
  </si>
  <si>
    <t>Green Park Energy SA de CV</t>
  </si>
  <si>
    <t>Bluemex San Miguel SA de CV</t>
  </si>
  <si>
    <t>Bellaterra Energia SA de CV</t>
  </si>
  <si>
    <t>San Marti Power SA de CV</t>
  </si>
  <si>
    <t>Malva New Energy SA de CV</t>
  </si>
  <si>
    <t>Matraca Maya SA de CV</t>
  </si>
  <si>
    <t>Solarvatio SA de CV</t>
  </si>
  <si>
    <t>Soluciones Energeticas Para La Transformacion BCS S A P I de CV</t>
  </si>
  <si>
    <t>BU ST Services S de RL de CV</t>
  </si>
  <si>
    <t>Terralia Energia y Campo SA de CV</t>
  </si>
  <si>
    <t>Atria Wind Farm II S A P I de CV</t>
  </si>
  <si>
    <t>Parque Eolico de Euronotus S de RL de CV</t>
  </si>
  <si>
    <t>PYE Electrificaciones S de RL de CV</t>
  </si>
  <si>
    <t>Proyener S de RL de CV</t>
  </si>
  <si>
    <t>Arturo Energia S de RL de CV</t>
  </si>
  <si>
    <t>Hola Energia S de RL de CV</t>
  </si>
  <si>
    <t>Transformaes Creacion Sostenible S de RL de CV</t>
  </si>
  <si>
    <t>Alma Energia S de RL de CV</t>
  </si>
  <si>
    <t>Ambra Energia S de RL de CV</t>
  </si>
  <si>
    <t>Tecolote Recursos Ambientales S de RL de CV</t>
  </si>
  <si>
    <t>Sunstone Power 1 S de RL de CV</t>
  </si>
  <si>
    <t>Angel Energia S de RL de CV</t>
  </si>
  <si>
    <t>Turquesa Energia S de RL de CV</t>
  </si>
  <si>
    <t>Carcasola S de RL de CV</t>
  </si>
  <si>
    <t>Kineom S de RL de CV</t>
  </si>
  <si>
    <t>Rho Solar S de RL de CV</t>
  </si>
  <si>
    <t>PV Tamesi Solar SG S de RL de CV</t>
  </si>
  <si>
    <t>Majoma Solar II S A P I de CV</t>
  </si>
  <si>
    <t>Alten Energias Renovables Mexico Siete SA de CV</t>
  </si>
  <si>
    <t>Guayacan Infraestructura Sustentable S de RL de CV</t>
  </si>
  <si>
    <t>SE Renewable Delta SA de CV</t>
  </si>
  <si>
    <t>PV El Sol de Santa Clara SG S de RL de CV</t>
  </si>
  <si>
    <t>PV Loma Bonita Solar SG S de RL de CV</t>
  </si>
  <si>
    <t>PV Tacana Solar SG S de RL de CV</t>
  </si>
  <si>
    <t>PV El Tintillo Solar SG S de RL de CV</t>
  </si>
  <si>
    <t>Parque Solar La Navidad</t>
  </si>
  <si>
    <t>Alten Siete</t>
  </si>
  <si>
    <t>Parque Solar Lagos El Potrero</t>
  </si>
  <si>
    <t>Parque Solar Ángel 2</t>
  </si>
  <si>
    <t>Central Fotovoltaica Mesa Redonda</t>
  </si>
  <si>
    <t>Barajas Solar</t>
  </si>
  <si>
    <t>Parque Solar Cuquío</t>
  </si>
  <si>
    <t>Atlacomulco</t>
  </si>
  <si>
    <t>Atlacomulco Solar</t>
  </si>
  <si>
    <t>Atria Wind Farm I</t>
  </si>
  <si>
    <t>Alborada Solar</t>
  </si>
  <si>
    <t>Santiago Solar</t>
  </si>
  <si>
    <t>Jarocho Solar</t>
  </si>
  <si>
    <t>Delaro</t>
  </si>
  <si>
    <t>Insurgentes</t>
  </si>
  <si>
    <t>San Felipe Solar</t>
  </si>
  <si>
    <t>Santos</t>
  </si>
  <si>
    <t>Marimba Solar</t>
  </si>
  <si>
    <t>Parque Solar La Barca</t>
  </si>
  <si>
    <t>Loreto</t>
  </si>
  <si>
    <t>Loreto Energy Center</t>
  </si>
  <si>
    <t>Sol De Zacatecas</t>
  </si>
  <si>
    <t>Proyecto Eolico Sierra Madre</t>
  </si>
  <si>
    <t>Parque Solar San Cayetano</t>
  </si>
  <si>
    <t>Proyecto Solar Los Nogales</t>
  </si>
  <si>
    <t>Proyecto Solar Las Cañas</t>
  </si>
  <si>
    <t>Trapiche Solar</t>
  </si>
  <si>
    <t>Majoma Solar</t>
  </si>
  <si>
    <t>Malva Solar</t>
  </si>
  <si>
    <t>Matraca Maya</t>
  </si>
  <si>
    <t>Parque Eólico Euronotus</t>
  </si>
  <si>
    <t>Central Fotovoltaica Horcones</t>
  </si>
  <si>
    <t>Acatlan Generacion</t>
  </si>
  <si>
    <t>Planta Solar Fotovoltaica Mesa Andrade I</t>
  </si>
  <si>
    <t>Tai Anahuac Solar</t>
  </si>
  <si>
    <t>Ambar Solar</t>
  </si>
  <si>
    <t>Planta Fotovoltaica Carmela</t>
  </si>
  <si>
    <t>Proyecto Solar San Jose Del Cabo</t>
  </si>
  <si>
    <t>Manzano</t>
  </si>
  <si>
    <t>Central Eólica De México 2, S.A.P.I. De C.V.</t>
  </si>
  <si>
    <t>Los Rios</t>
  </si>
  <si>
    <t>Parque Solar La Encantada</t>
  </si>
  <si>
    <t>Parque Solar Miguel</t>
  </si>
  <si>
    <t>El Gorrion</t>
  </si>
  <si>
    <t>Aurora I</t>
  </si>
  <si>
    <t>Atria Wind Farm II</t>
  </si>
  <si>
    <t>FV Santa Fe</t>
  </si>
  <si>
    <t>CFE Cerro Prieto</t>
  </si>
  <si>
    <t>ICA Punta Colonet</t>
  </si>
  <si>
    <t>ICA San Luis Rio Colorado</t>
  </si>
  <si>
    <t>CFV Las Aguilas</t>
  </si>
  <si>
    <t>FV El Toro</t>
  </si>
  <si>
    <t>FV Villa Juarez</t>
  </si>
  <si>
    <t>Bura Energy Center II</t>
  </si>
  <si>
    <t>PV Alamo I Solar</t>
  </si>
  <si>
    <t>PV Tecamachalco Solar</t>
  </si>
  <si>
    <t>PV Loma Bonita Solar</t>
  </si>
  <si>
    <t>PV Tacana Solar</t>
  </si>
  <si>
    <t>PV Tamesí Solar</t>
  </si>
  <si>
    <t>PS Altamirano</t>
  </si>
  <si>
    <t>Central FV Ixtapan</t>
  </si>
  <si>
    <t>PFV Santa Fe II</t>
  </si>
  <si>
    <t>CIP - Horizonte Solar</t>
  </si>
  <si>
    <t>Santiago PV</t>
  </si>
  <si>
    <t>Puebla</t>
  </si>
  <si>
    <t>Jalisco</t>
  </si>
  <si>
    <t>Aguascalientes</t>
  </si>
  <si>
    <t>Oaxaca</t>
  </si>
  <si>
    <t>Chiapas</t>
  </si>
  <si>
    <t>Nayarit</t>
  </si>
  <si>
    <t>Michoacán</t>
  </si>
  <si>
    <t>Estado de México</t>
  </si>
  <si>
    <t>El Llano</t>
  </si>
  <si>
    <t>San Felipe</t>
  </si>
  <si>
    <t>Ensenada</t>
  </si>
  <si>
    <t>Tecate</t>
  </si>
  <si>
    <t>Comondú</t>
  </si>
  <si>
    <t>Tapachula</t>
  </si>
  <si>
    <t>Palenque</t>
  </si>
  <si>
    <t>Frontera</t>
  </si>
  <si>
    <t>Saltillo</t>
  </si>
  <si>
    <t>Nadadores</t>
  </si>
  <si>
    <t>Jocotitlán</t>
  </si>
  <si>
    <t>Abasolo</t>
  </si>
  <si>
    <t>Manuel Doblado</t>
  </si>
  <si>
    <t>Villa Corona</t>
  </si>
  <si>
    <t>Cuquío</t>
  </si>
  <si>
    <t>La Barca</t>
  </si>
  <si>
    <t>Contepec</t>
  </si>
  <si>
    <t>Santiago Ixcuintla</t>
  </si>
  <si>
    <t>General Bravo</t>
  </si>
  <si>
    <t>Anáhuac</t>
  </si>
  <si>
    <t>China</t>
  </si>
  <si>
    <t>Los Ramones</t>
  </si>
  <si>
    <t>Loma Bonita</t>
  </si>
  <si>
    <t>San Pablo Etla</t>
  </si>
  <si>
    <t>Tepeyahualco</t>
  </si>
  <si>
    <t>San José Chiapa</t>
  </si>
  <si>
    <t>Tecamachalco</t>
  </si>
  <si>
    <t>Atzitzintla</t>
  </si>
  <si>
    <t>Casas</t>
  </si>
  <si>
    <t>Tlaxco</t>
  </si>
  <si>
    <t>Hueyotlipan</t>
  </si>
  <si>
    <t>Tres Valles</t>
  </si>
  <si>
    <t>La Antigua</t>
  </si>
  <si>
    <t>Agua Dulce</t>
  </si>
  <si>
    <t>Puente Nacional</t>
  </si>
  <si>
    <t>Moloacán</t>
  </si>
  <si>
    <t>Álamo Temapache</t>
  </si>
  <si>
    <t>Manlio Fabio Altamirano</t>
  </si>
  <si>
    <t>Villa De Cos</t>
  </si>
  <si>
    <t>Mazapil</t>
  </si>
  <si>
    <t>Acatlán de Juárez</t>
  </si>
  <si>
    <t>Almoloya de Juárez</t>
  </si>
  <si>
    <t>Concepción del Oro</t>
  </si>
  <si>
    <t>Ixtapan de la Sal</t>
  </si>
  <si>
    <t>Lagos de Moreno</t>
  </si>
  <si>
    <t>San Luis de la Paz</t>
  </si>
  <si>
    <t>San Miguel de Allende</t>
  </si>
  <si>
    <t>Soledad de Doblado</t>
  </si>
  <si>
    <t>Fotovoltaica</t>
  </si>
  <si>
    <t>Eólica</t>
  </si>
  <si>
    <t>Datos Relevantes del Proyecto</t>
  </si>
  <si>
    <t>Región</t>
  </si>
  <si>
    <t>Grupo de Interés Económico</t>
  </si>
  <si>
    <t>Entidad</t>
  </si>
  <si>
    <t>Porcentaje BESS [%]</t>
  </si>
  <si>
    <t>Almacenamiento BESS [MW]</t>
  </si>
  <si>
    <t>Energía por horas [MWh]</t>
  </si>
  <si>
    <t>Valores de avance de los trámites de acuerdo con las reglas</t>
  </si>
  <si>
    <t>Estatus de avance de los trámites de acuerdo con las reglas</t>
  </si>
  <si>
    <t>Estudios de Interconexión</t>
  </si>
  <si>
    <t>EVIS / MISSE y Consulta indígena</t>
  </si>
  <si>
    <t>DI_P_ESTATUS</t>
  </si>
  <si>
    <t>DI_LT_ESTATUS</t>
  </si>
  <si>
    <t>ES_INT_ESTATUS</t>
  </si>
  <si>
    <t>A_MIA_P_ESTATUS</t>
  </si>
  <si>
    <t>A_MIA_LT_ESTATUS</t>
  </si>
  <si>
    <t>A_ETJ_P_ESTATUS</t>
  </si>
  <si>
    <t>A_ETJ_LT_ESTATUS</t>
  </si>
  <si>
    <t>S_MISSE_C_ESTATUS</t>
  </si>
  <si>
    <t>S_MISSE_LT_ESTATUS</t>
  </si>
  <si>
    <t>INAH_C_ESTATUS</t>
  </si>
  <si>
    <t>INAH_LT_ESTATUS</t>
  </si>
  <si>
    <t>PEMEX_C_ESTATUS</t>
  </si>
  <si>
    <t>PEMEX_LT_ESTATUS</t>
  </si>
  <si>
    <t>CONA_C_ESTATUS</t>
  </si>
  <si>
    <t>CONA_LT_ESTATUS</t>
  </si>
  <si>
    <t>AFAC_C_ESTATUS</t>
  </si>
  <si>
    <t>AFAC_LT_ESTATUS</t>
  </si>
  <si>
    <t>-</t>
  </si>
  <si>
    <t>ESTADO DE TRÁMITES Y PERMISOS DE PROYECTOS MIXTOS, SEGUNDA RONDA</t>
  </si>
  <si>
    <t>Rev 4</t>
  </si>
  <si>
    <t>Requerimiento</t>
  </si>
  <si>
    <t>#92D050</t>
  </si>
  <si>
    <t>#FABF8F</t>
  </si>
  <si>
    <t>HEX</t>
  </si>
  <si>
    <t>#95B3D7</t>
  </si>
  <si>
    <t>#FFFF99</t>
  </si>
  <si>
    <t>#FF7C80</t>
  </si>
  <si>
    <t>#BFBFBF</t>
  </si>
  <si>
    <t>En dictaminación</t>
  </si>
  <si>
    <r>
      <rPr>
        <b/>
        <sz val="9"/>
        <rFont val="Aptos Narrow"/>
        <family val="2"/>
      </rPr>
      <t xml:space="preserve">Amarillo: </t>
    </r>
    <r>
      <rPr>
        <sz val="9"/>
        <rFont val="Aptos Narrow"/>
        <family val="2"/>
      </rPr>
      <t>De un 75.00% a un 84.99%</t>
    </r>
  </si>
  <si>
    <r>
      <rPr>
        <b/>
        <sz val="9"/>
        <rFont val="Aptos Narrow"/>
        <family val="2"/>
      </rPr>
      <t xml:space="preserve">Rojo: </t>
    </r>
    <r>
      <rPr>
        <sz val="9"/>
        <rFont val="Aptos Narrow"/>
        <family val="2"/>
      </rPr>
      <t>Debajo de 75%</t>
    </r>
  </si>
  <si>
    <r>
      <rPr>
        <b/>
        <sz val="9"/>
        <rFont val="Aptos Narrow"/>
        <family val="2"/>
      </rPr>
      <t>Pendiente</t>
    </r>
    <r>
      <rPr>
        <sz val="9"/>
        <rFont val="Aptos Narrow"/>
        <family val="2"/>
      </rPr>
      <t>: Trámite no iniciado o sin información por parte del socio.</t>
    </r>
  </si>
  <si>
    <r>
      <rPr>
        <b/>
        <sz val="9"/>
        <rFont val="Aptos Narrow"/>
        <family val="2"/>
      </rPr>
      <t>En elaboración</t>
    </r>
    <r>
      <rPr>
        <sz val="9"/>
        <rFont val="Aptos Narrow"/>
        <family val="2"/>
      </rPr>
      <t>: El socio se encuentra integrando documentación y preparando el ingreso.</t>
    </r>
  </si>
  <si>
    <r>
      <rPr>
        <b/>
        <sz val="9"/>
        <rFont val="Aptos Narrow"/>
        <family val="2"/>
      </rPr>
      <t>En evaluación</t>
    </r>
    <r>
      <rPr>
        <sz val="9"/>
        <rFont val="Aptos Narrow"/>
        <family val="2"/>
      </rPr>
      <t>: Trámite ingresado ante la autoridad y en proceso de revisión.</t>
    </r>
  </si>
  <si>
    <r>
      <rPr>
        <b/>
        <sz val="9"/>
        <rFont val="Aptos Narrow"/>
        <family val="2"/>
      </rPr>
      <t>Requerimiento</t>
    </r>
    <r>
      <rPr>
        <sz val="9"/>
        <rFont val="Aptos Narrow"/>
        <family val="2"/>
      </rPr>
      <t>: La autoridad solicitó información adicional, aclaraciones, precisiones o se requiere una actualización derivada de cambios del socio.</t>
    </r>
  </si>
  <si>
    <r>
      <rPr>
        <b/>
        <sz val="9"/>
        <rFont val="Aptos Narrow"/>
        <family val="2"/>
      </rPr>
      <t>En actualización</t>
    </r>
    <r>
      <rPr>
        <sz val="9"/>
        <rFont val="Aptos Narrow"/>
        <family val="2"/>
      </rPr>
      <t>: La autoridad solicitó información adicional, aclaraciones, precisiones o se requiere una actualización derivada de cambios del socio.</t>
    </r>
  </si>
  <si>
    <r>
      <rPr>
        <b/>
        <sz val="9"/>
        <rFont val="Aptos Narrow"/>
        <family val="2"/>
      </rPr>
      <t>En dictaminación</t>
    </r>
    <r>
      <rPr>
        <sz val="9"/>
        <rFont val="Aptos Narrow"/>
        <family val="2"/>
      </rPr>
      <t>: La información requerida fue entregada y el trámite se encuentra en revisión final para emisión del fallo.</t>
    </r>
  </si>
  <si>
    <r>
      <rPr>
        <b/>
        <sz val="9"/>
        <rFont val="Aptos Narrow"/>
        <family val="2"/>
      </rPr>
      <t>Liberado</t>
    </r>
    <r>
      <rPr>
        <sz val="9"/>
        <rFont val="Aptos Narrow"/>
        <family val="2"/>
      </rPr>
      <t>: Autorización o fallo favorable emitido por la autoridad.</t>
    </r>
  </si>
  <si>
    <r>
      <rPr>
        <b/>
        <sz val="9"/>
        <rFont val="Aptos Narrow"/>
        <family val="2"/>
      </rPr>
      <t>N/A</t>
    </r>
    <r>
      <rPr>
        <sz val="9"/>
        <rFont val="Aptos Narrow"/>
        <family val="2"/>
      </rPr>
      <t>: Trámite no requerido o no aplicable.</t>
    </r>
  </si>
  <si>
    <t>S_CONS_ESTATUS</t>
  </si>
  <si>
    <t>Capacidad Neta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</si>
</sst>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ptos Narrow"/>
      <family val="2"/>
    </font>
    <font>
      <sz val="10"/>
      <name val="Aptos Narrow"/>
      <family val="2"/>
    </font>
    <font>
      <b/>
      <sz val="9"/>
      <name val="Aptos Narrow"/>
      <family val="2"/>
    </font>
    <font>
      <sz val="10"/>
      <color rgb="FF000000"/>
      <name val="Aptos Narrow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4"/>
      <color theme="1"/>
      <name val="Arial"/>
      <family val="2"/>
    </font>
    <font>
      <b/>
      <sz val="12"/>
      <color theme="0"/>
      <name val="Aptos Narrow"/>
      <family val="2"/>
    </font>
    <font>
      <sz val="10"/>
      <color theme="0"/>
      <name val="Arial"/>
      <family val="2"/>
    </font>
    <font>
      <b/>
      <sz val="10"/>
      <color theme="0"/>
      <name val="Aptos Narrow"/>
      <family val="2"/>
    </font>
    <font>
      <sz val="7"/>
      <name val="Aptos Narrow"/>
      <family val="2"/>
    </font>
    <font>
      <b/>
      <sz val="8"/>
      <name val="Aptos Narrow"/>
      <family val="2"/>
    </font>
    <font>
      <sz val="9"/>
      <name val="Aptos Narrow"/>
      <family val="2"/>
    </font>
    <font>
      <b/>
      <sz val="9"/>
      <color theme="0"/>
      <name val="Aptos Narrow"/>
      <family val="2"/>
    </font>
    <font>
      <sz val="9"/>
      <color rgb="FFFF0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9" fontId="5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4" fillId="0" borderId="0" applyFont="0" applyFill="0" applyBorder="0" applyAlignment="0" applyProtection="0"/>
  </cellStyleXfs>
  <cellXfs count="465">
    <xf numFmtId="0" fontId="0" fillId="0" borderId="0" xfId="0"/>
    <xf numFmtId="10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9" fontId="6" fillId="4" borderId="57" xfId="0" applyNumberFormat="1" applyFont="1" applyFill="1" applyBorder="1" applyAlignment="1">
      <alignment horizontal="center" vertical="center"/>
    </xf>
    <xf numFmtId="9" fontId="6" fillId="4" borderId="6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67" xfId="0" applyFont="1" applyBorder="1"/>
    <xf numFmtId="0" fontId="6" fillId="0" borderId="40" xfId="0" applyFont="1" applyBorder="1" applyAlignment="1">
      <alignment horizontal="center"/>
    </xf>
    <xf numFmtId="0" fontId="6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horizontal="right" vertical="center"/>
    </xf>
    <xf numFmtId="0" fontId="7" fillId="0" borderId="40" xfId="0" applyFont="1" applyBorder="1" applyAlignment="1">
      <alignment vertical="center"/>
    </xf>
    <xf numFmtId="0" fontId="7" fillId="0" borderId="40" xfId="0" applyFont="1" applyBorder="1"/>
    <xf numFmtId="0" fontId="13" fillId="0" borderId="68" xfId="0" applyFont="1" applyBorder="1" applyAlignment="1">
      <alignment horizontal="right" vertical="center"/>
    </xf>
    <xf numFmtId="0" fontId="6" fillId="0" borderId="69" xfId="0" applyFont="1" applyBorder="1"/>
    <xf numFmtId="0" fontId="12" fillId="0" borderId="70" xfId="0" applyFont="1" applyBorder="1" applyAlignment="1">
      <alignment horizontal="right" vertical="center"/>
    </xf>
    <xf numFmtId="0" fontId="11" fillId="0" borderId="70" xfId="0" applyFont="1" applyBorder="1" applyAlignment="1">
      <alignment horizontal="right" vertical="center"/>
    </xf>
    <xf numFmtId="0" fontId="7" fillId="0" borderId="71" xfId="0" applyFont="1" applyBorder="1"/>
    <xf numFmtId="0" fontId="7" fillId="0" borderId="41" xfId="0" applyFont="1" applyBorder="1" applyAlignment="1">
      <alignment horizontal="center"/>
    </xf>
    <xf numFmtId="0" fontId="7" fillId="0" borderId="41" xfId="0" applyFont="1" applyBorder="1"/>
    <xf numFmtId="9" fontId="6" fillId="5" borderId="51" xfId="0" applyNumberFormat="1" applyFont="1" applyFill="1" applyBorder="1" applyAlignment="1">
      <alignment horizontal="center" vertical="center"/>
    </xf>
    <xf numFmtId="9" fontId="6" fillId="5" borderId="57" xfId="0" applyNumberFormat="1" applyFont="1" applyFill="1" applyBorder="1" applyAlignment="1">
      <alignment horizontal="center" vertical="center"/>
    </xf>
    <xf numFmtId="0" fontId="6" fillId="0" borderId="0" xfId="0" applyFont="1"/>
    <xf numFmtId="0" fontId="17" fillId="0" borderId="0" xfId="0" applyFont="1"/>
    <xf numFmtId="0" fontId="7" fillId="0" borderId="67" xfId="0" applyFont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7" fillId="0" borderId="71" xfId="0" applyFont="1" applyBorder="1" applyAlignment="1">
      <alignment horizontal="center"/>
    </xf>
    <xf numFmtId="0" fontId="7" fillId="0" borderId="68" xfId="0" applyFont="1" applyBorder="1"/>
    <xf numFmtId="0" fontId="7" fillId="0" borderId="70" xfId="0" applyFont="1" applyBorder="1"/>
    <xf numFmtId="0" fontId="7" fillId="0" borderId="58" xfId="0" applyFont="1" applyBorder="1"/>
    <xf numFmtId="0" fontId="18" fillId="0" borderId="28" xfId="0" applyFont="1" applyBorder="1" applyAlignment="1">
      <alignment horizontal="right"/>
    </xf>
    <xf numFmtId="0" fontId="18" fillId="0" borderId="30" xfId="0" applyFont="1" applyBorder="1" applyAlignment="1">
      <alignment horizontal="right"/>
    </xf>
    <xf numFmtId="0" fontId="7" fillId="0" borderId="41" xfId="0" applyFont="1" applyBorder="1" applyAlignment="1">
      <alignment vertical="center"/>
    </xf>
    <xf numFmtId="10" fontId="16" fillId="6" borderId="25" xfId="2" applyNumberFormat="1" applyFont="1" applyFill="1" applyBorder="1" applyAlignment="1">
      <alignment horizontal="center" vertical="center"/>
    </xf>
    <xf numFmtId="10" fontId="16" fillId="6" borderId="44" xfId="2" applyNumberFormat="1" applyFont="1" applyFill="1" applyBorder="1" applyAlignment="1">
      <alignment horizontal="center" vertical="center"/>
    </xf>
    <xf numFmtId="10" fontId="16" fillId="6" borderId="57" xfId="0" applyNumberFormat="1" applyFont="1" applyFill="1" applyBorder="1" applyAlignment="1">
      <alignment horizontal="center" vertical="center"/>
    </xf>
    <xf numFmtId="15" fontId="18" fillId="0" borderId="30" xfId="0" applyNumberFormat="1" applyFont="1" applyBorder="1" applyAlignment="1">
      <alignment horizontal="right"/>
    </xf>
    <xf numFmtId="0" fontId="14" fillId="6" borderId="77" xfId="0" applyFont="1" applyFill="1" applyBorder="1"/>
    <xf numFmtId="10" fontId="8" fillId="0" borderId="19" xfId="0" applyNumberFormat="1" applyFont="1" applyBorder="1" applyAlignment="1">
      <alignment horizontal="center" vertical="center"/>
    </xf>
    <xf numFmtId="10" fontId="8" fillId="0" borderId="66" xfId="0" applyNumberFormat="1" applyFont="1" applyBorder="1" applyAlignment="1">
      <alignment horizontal="center" vertical="center"/>
    </xf>
    <xf numFmtId="10" fontId="8" fillId="0" borderId="34" xfId="0" applyNumberFormat="1" applyFont="1" applyBorder="1" applyAlignment="1">
      <alignment horizontal="center" vertical="center"/>
    </xf>
    <xf numFmtId="10" fontId="8" fillId="0" borderId="15" xfId="0" applyNumberFormat="1" applyFont="1" applyBorder="1" applyAlignment="1">
      <alignment horizontal="center" vertical="center"/>
    </xf>
    <xf numFmtId="10" fontId="8" fillId="0" borderId="23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19" fillId="0" borderId="85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19" fillId="0" borderId="86" xfId="0" applyFont="1" applyBorder="1" applyAlignment="1">
      <alignment vertical="center"/>
    </xf>
    <xf numFmtId="0" fontId="19" fillId="0" borderId="81" xfId="0" applyFont="1" applyBorder="1"/>
    <xf numFmtId="0" fontId="19" fillId="0" borderId="82" xfId="0" applyFont="1" applyBorder="1"/>
    <xf numFmtId="0" fontId="19" fillId="0" borderId="80" xfId="0" applyFont="1" applyBorder="1" applyAlignment="1">
      <alignment vertical="center"/>
    </xf>
    <xf numFmtId="0" fontId="19" fillId="0" borderId="81" xfId="0" applyFont="1" applyBorder="1" applyAlignment="1">
      <alignment vertical="center"/>
    </xf>
    <xf numFmtId="10" fontId="16" fillId="6" borderId="77" xfId="0" applyNumberFormat="1" applyFont="1" applyFill="1" applyBorder="1" applyAlignment="1">
      <alignment horizontal="center" vertical="center"/>
    </xf>
    <xf numFmtId="10" fontId="16" fillId="6" borderId="87" xfId="0" applyNumberFormat="1" applyFont="1" applyFill="1" applyBorder="1" applyAlignment="1">
      <alignment horizontal="center" vertical="center"/>
    </xf>
    <xf numFmtId="10" fontId="16" fillId="6" borderId="79" xfId="0" applyNumberFormat="1" applyFont="1" applyFill="1" applyBorder="1" applyAlignment="1">
      <alignment horizontal="center" vertical="center"/>
    </xf>
    <xf numFmtId="0" fontId="16" fillId="6" borderId="83" xfId="0" applyFont="1" applyFill="1" applyBorder="1" applyAlignment="1">
      <alignment horizontal="right" vertical="center" wrapText="1"/>
    </xf>
    <xf numFmtId="0" fontId="19" fillId="0" borderId="85" xfId="0" applyFont="1" applyBorder="1" applyAlignment="1">
      <alignment vertical="center" wrapText="1"/>
    </xf>
    <xf numFmtId="0" fontId="16" fillId="6" borderId="75" xfId="0" applyFont="1" applyFill="1" applyBorder="1" applyAlignment="1">
      <alignment horizontal="center" vertical="center"/>
    </xf>
    <xf numFmtId="14" fontId="19" fillId="0" borderId="91" xfId="0" applyNumberFormat="1" applyFont="1" applyBorder="1" applyAlignment="1">
      <alignment horizontal="center" vertical="center"/>
    </xf>
    <xf numFmtId="14" fontId="19" fillId="0" borderId="20" xfId="0" applyNumberFormat="1" applyFont="1" applyBorder="1" applyAlignment="1">
      <alignment horizontal="center" vertical="center"/>
    </xf>
    <xf numFmtId="14" fontId="19" fillId="0" borderId="92" xfId="0" applyNumberFormat="1" applyFont="1" applyBorder="1" applyAlignment="1">
      <alignment horizontal="center" vertical="center"/>
    </xf>
    <xf numFmtId="0" fontId="19" fillId="0" borderId="6" xfId="0" applyFont="1" applyBorder="1"/>
    <xf numFmtId="0" fontId="19" fillId="0" borderId="34" xfId="0" applyFont="1" applyBorder="1" applyAlignment="1">
      <alignment horizontal="center" vertical="center"/>
    </xf>
    <xf numFmtId="0" fontId="19" fillId="0" borderId="33" xfId="0" applyFont="1" applyBorder="1"/>
    <xf numFmtId="0" fontId="16" fillId="6" borderId="88" xfId="0" applyFont="1" applyFill="1" applyBorder="1" applyAlignment="1">
      <alignment horizontal="center" vertical="center" wrapText="1"/>
    </xf>
    <xf numFmtId="0" fontId="16" fillId="6" borderId="85" xfId="0" applyFont="1" applyFill="1" applyBorder="1" applyAlignment="1">
      <alignment horizontal="center" vertical="center" wrapText="1"/>
    </xf>
    <xf numFmtId="0" fontId="14" fillId="6" borderId="28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9" fontId="7" fillId="0" borderId="0" xfId="2" applyFont="1"/>
    <xf numFmtId="0" fontId="14" fillId="6" borderId="37" xfId="0" applyFont="1" applyFill="1" applyBorder="1" applyAlignment="1">
      <alignment vertical="center"/>
    </xf>
    <xf numFmtId="0" fontId="14" fillId="6" borderId="38" xfId="0" applyFont="1" applyFill="1" applyBorder="1" applyAlignment="1">
      <alignment vertical="center"/>
    </xf>
    <xf numFmtId="0" fontId="14" fillId="6" borderId="39" xfId="0" applyFont="1" applyFill="1" applyBorder="1" applyAlignment="1">
      <alignment vertical="center"/>
    </xf>
    <xf numFmtId="0" fontId="16" fillId="6" borderId="84" xfId="0" applyFont="1" applyFill="1" applyBorder="1" applyAlignment="1">
      <alignment vertical="center" wrapText="1"/>
    </xf>
    <xf numFmtId="0" fontId="16" fillId="6" borderId="90" xfId="0" applyFont="1" applyFill="1" applyBorder="1" applyAlignment="1">
      <alignment vertical="center" wrapText="1"/>
    </xf>
    <xf numFmtId="0" fontId="16" fillId="6" borderId="86" xfId="0" applyFont="1" applyFill="1" applyBorder="1" applyAlignment="1">
      <alignment vertical="center" wrapText="1"/>
    </xf>
    <xf numFmtId="0" fontId="19" fillId="0" borderId="0" xfId="0" applyFont="1"/>
    <xf numFmtId="0" fontId="21" fillId="0" borderId="0" xfId="0" applyFont="1"/>
    <xf numFmtId="0" fontId="19" fillId="0" borderId="41" xfId="0" applyFont="1" applyBorder="1"/>
    <xf numFmtId="0" fontId="19" fillId="0" borderId="58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14" fontId="21" fillId="0" borderId="41" xfId="0" applyNumberFormat="1" applyFont="1" applyBorder="1" applyAlignment="1">
      <alignment horizontal="center" vertical="center"/>
    </xf>
    <xf numFmtId="10" fontId="8" fillId="0" borderId="84" xfId="0" applyNumberFormat="1" applyFont="1" applyBorder="1" applyAlignment="1">
      <alignment horizontal="center" vertical="center"/>
    </xf>
    <xf numFmtId="10" fontId="8" fillId="0" borderId="82" xfId="0" applyNumberFormat="1" applyFont="1" applyBorder="1" applyAlignment="1">
      <alignment horizontal="center" vertical="center"/>
    </xf>
    <xf numFmtId="10" fontId="8" fillId="0" borderId="58" xfId="0" applyNumberFormat="1" applyFont="1" applyBorder="1" applyAlignment="1">
      <alignment horizontal="center" vertical="center"/>
    </xf>
    <xf numFmtId="10" fontId="7" fillId="0" borderId="52" xfId="0" applyNumberFormat="1" applyFont="1" applyBorder="1" applyAlignment="1">
      <alignment horizontal="center" vertical="center"/>
    </xf>
    <xf numFmtId="14" fontId="7" fillId="0" borderId="92" xfId="0" applyNumberFormat="1" applyFont="1" applyBorder="1" applyAlignment="1">
      <alignment horizontal="center" vertical="center" wrapText="1"/>
    </xf>
    <xf numFmtId="10" fontId="7" fillId="0" borderId="15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center" vertical="center"/>
    </xf>
    <xf numFmtId="10" fontId="6" fillId="0" borderId="48" xfId="0" applyNumberFormat="1" applyFont="1" applyBorder="1" applyAlignment="1">
      <alignment horizontal="center" vertical="center"/>
    </xf>
    <xf numFmtId="0" fontId="19" fillId="0" borderId="92" xfId="0" applyFont="1" applyBorder="1" applyAlignment="1">
      <alignment vertical="center"/>
    </xf>
    <xf numFmtId="0" fontId="19" fillId="0" borderId="99" xfId="0" applyFont="1" applyBorder="1" applyAlignment="1">
      <alignment vertical="center"/>
    </xf>
    <xf numFmtId="14" fontId="19" fillId="0" borderId="99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9" fillId="0" borderId="94" xfId="0" applyFont="1" applyBorder="1" applyAlignment="1">
      <alignment vertical="center"/>
    </xf>
    <xf numFmtId="14" fontId="19" fillId="0" borderId="94" xfId="0" applyNumberFormat="1" applyFont="1" applyBorder="1" applyAlignment="1">
      <alignment horizontal="center" vertical="center"/>
    </xf>
    <xf numFmtId="14" fontId="19" fillId="0" borderId="100" xfId="0" applyNumberFormat="1" applyFont="1" applyBorder="1" applyAlignment="1">
      <alignment horizontal="center" vertical="center"/>
    </xf>
    <xf numFmtId="14" fontId="19" fillId="0" borderId="72" xfId="0" applyNumberFormat="1" applyFont="1" applyBorder="1" applyAlignment="1">
      <alignment horizontal="center" vertical="center"/>
    </xf>
    <xf numFmtId="14" fontId="19" fillId="0" borderId="73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right"/>
    </xf>
    <xf numFmtId="0" fontId="18" fillId="0" borderId="70" xfId="0" applyFont="1" applyBorder="1" applyAlignment="1">
      <alignment horizontal="right"/>
    </xf>
    <xf numFmtId="15" fontId="18" fillId="0" borderId="70" xfId="0" applyNumberFormat="1" applyFont="1" applyBorder="1" applyAlignment="1">
      <alignment horizontal="right"/>
    </xf>
    <xf numFmtId="0" fontId="16" fillId="6" borderId="67" xfId="0" applyFont="1" applyFill="1" applyBorder="1" applyAlignment="1">
      <alignment horizontal="right" vertical="center" wrapText="1"/>
    </xf>
    <xf numFmtId="0" fontId="19" fillId="0" borderId="45" xfId="0" applyFont="1" applyBorder="1" applyAlignment="1">
      <alignment vertical="center"/>
    </xf>
    <xf numFmtId="0" fontId="19" fillId="0" borderId="36" xfId="0" applyFont="1" applyBorder="1" applyAlignment="1">
      <alignment vertical="center"/>
    </xf>
    <xf numFmtId="0" fontId="19" fillId="0" borderId="46" xfId="0" applyFont="1" applyBorder="1" applyAlignment="1">
      <alignment vertical="center"/>
    </xf>
    <xf numFmtId="0" fontId="19" fillId="0" borderId="45" xfId="0" applyFont="1" applyBorder="1" applyAlignment="1">
      <alignment vertical="center" wrapText="1"/>
    </xf>
    <xf numFmtId="0" fontId="19" fillId="8" borderId="45" xfId="0" applyFont="1" applyFill="1" applyBorder="1" applyAlignment="1">
      <alignment vertical="center"/>
    </xf>
    <xf numFmtId="0" fontId="19" fillId="7" borderId="36" xfId="0" applyFont="1" applyFill="1" applyBorder="1" applyAlignment="1">
      <alignment vertical="center"/>
    </xf>
    <xf numFmtId="0" fontId="19" fillId="10" borderId="46" xfId="0" applyFont="1" applyFill="1" applyBorder="1" applyAlignment="1">
      <alignment vertical="center"/>
    </xf>
    <xf numFmtId="0" fontId="14" fillId="6" borderId="83" xfId="0" applyFont="1" applyFill="1" applyBorder="1" applyAlignment="1">
      <alignment horizontal="center" vertical="center" wrapText="1"/>
    </xf>
    <xf numFmtId="10" fontId="20" fillId="6" borderId="29" xfId="2" applyNumberFormat="1" applyFont="1" applyFill="1" applyBorder="1" applyAlignment="1">
      <alignment horizontal="center" vertical="center" wrapText="1"/>
    </xf>
    <xf numFmtId="10" fontId="20" fillId="6" borderId="5" xfId="2" applyNumberFormat="1" applyFont="1" applyFill="1" applyBorder="1" applyAlignment="1">
      <alignment horizontal="center" vertical="center" wrapText="1"/>
    </xf>
    <xf numFmtId="10" fontId="20" fillId="6" borderId="5" xfId="0" applyNumberFormat="1" applyFont="1" applyFill="1" applyBorder="1" applyAlignment="1">
      <alignment horizontal="center" vertical="center" wrapText="1"/>
    </xf>
    <xf numFmtId="10" fontId="20" fillId="6" borderId="30" xfId="0" applyNumberFormat="1" applyFont="1" applyFill="1" applyBorder="1" applyAlignment="1">
      <alignment horizontal="center" vertical="center" wrapText="1"/>
    </xf>
    <xf numFmtId="10" fontId="8" fillId="0" borderId="52" xfId="0" applyNumberFormat="1" applyFont="1" applyBorder="1" applyAlignment="1">
      <alignment horizontal="center" vertical="center"/>
    </xf>
    <xf numFmtId="10" fontId="8" fillId="0" borderId="99" xfId="0" applyNumberFormat="1" applyFont="1" applyBorder="1" applyAlignment="1">
      <alignment horizontal="center" vertical="center"/>
    </xf>
    <xf numFmtId="10" fontId="8" fillId="0" borderId="114" xfId="0" applyNumberFormat="1" applyFont="1" applyBorder="1" applyAlignment="1">
      <alignment horizontal="center" vertical="center"/>
    </xf>
    <xf numFmtId="10" fontId="8" fillId="0" borderId="92" xfId="0" applyNumberFormat="1" applyFont="1" applyBorder="1" applyAlignment="1">
      <alignment horizontal="center" vertical="center"/>
    </xf>
    <xf numFmtId="10" fontId="8" fillId="0" borderId="16" xfId="0" applyNumberFormat="1" applyFont="1" applyBorder="1" applyAlignment="1">
      <alignment horizontal="center" vertical="center"/>
    </xf>
    <xf numFmtId="10" fontId="8" fillId="0" borderId="94" xfId="0" applyNumberFormat="1" applyFont="1" applyBorder="1" applyAlignment="1">
      <alignment horizontal="center" vertical="center"/>
    </xf>
    <xf numFmtId="10" fontId="8" fillId="0" borderId="24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vertical="center"/>
    </xf>
    <xf numFmtId="0" fontId="19" fillId="0" borderId="93" xfId="0" applyFont="1" applyBorder="1" applyAlignment="1">
      <alignment vertical="center"/>
    </xf>
    <xf numFmtId="14" fontId="19" fillId="0" borderId="93" xfId="0" applyNumberFormat="1" applyFont="1" applyBorder="1" applyAlignment="1">
      <alignment horizontal="center" vertical="center"/>
    </xf>
    <xf numFmtId="14" fontId="19" fillId="0" borderId="115" xfId="0" applyNumberFormat="1" applyFont="1" applyBorder="1" applyAlignment="1">
      <alignment horizontal="center" vertical="center"/>
    </xf>
    <xf numFmtId="10" fontId="8" fillId="0" borderId="17" xfId="0" applyNumberFormat="1" applyFont="1" applyBorder="1" applyAlignment="1">
      <alignment horizontal="center" vertical="center"/>
    </xf>
    <xf numFmtId="10" fontId="8" fillId="0" borderId="93" xfId="0" applyNumberFormat="1" applyFont="1" applyBorder="1" applyAlignment="1">
      <alignment horizontal="center" vertical="center"/>
    </xf>
    <xf numFmtId="10" fontId="8" fillId="0" borderId="18" xfId="0" applyNumberFormat="1" applyFont="1" applyBorder="1" applyAlignment="1">
      <alignment horizontal="center" vertical="center"/>
    </xf>
    <xf numFmtId="0" fontId="19" fillId="0" borderId="52" xfId="0" applyFont="1" applyBorder="1" applyAlignment="1">
      <alignment vertical="center"/>
    </xf>
    <xf numFmtId="10" fontId="6" fillId="0" borderId="48" xfId="0" applyNumberFormat="1" applyFont="1" applyBorder="1" applyAlignment="1">
      <alignment horizontal="center" vertical="center" wrapText="1"/>
    </xf>
    <xf numFmtId="14" fontId="7" fillId="0" borderId="94" xfId="0" applyNumberFormat="1" applyFont="1" applyBorder="1" applyAlignment="1">
      <alignment horizontal="center" vertical="center" wrapText="1"/>
    </xf>
    <xf numFmtId="10" fontId="7" fillId="0" borderId="23" xfId="0" applyNumberFormat="1" applyFont="1" applyBorder="1" applyAlignment="1">
      <alignment horizontal="center" vertical="center"/>
    </xf>
    <xf numFmtId="10" fontId="7" fillId="0" borderId="24" xfId="0" applyNumberFormat="1" applyFont="1" applyBorder="1" applyAlignment="1">
      <alignment horizontal="center" vertical="center"/>
    </xf>
    <xf numFmtId="10" fontId="6" fillId="0" borderId="50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9" fontId="0" fillId="0" borderId="2" xfId="2" applyFont="1" applyBorder="1"/>
    <xf numFmtId="44" fontId="0" fillId="0" borderId="2" xfId="10" applyFont="1" applyBorder="1"/>
    <xf numFmtId="0" fontId="22" fillId="12" borderId="9" xfId="0" applyFont="1" applyFill="1" applyBorder="1" applyAlignment="1">
      <alignment horizontal="center" vertical="center"/>
    </xf>
    <xf numFmtId="0" fontId="0" fillId="13" borderId="116" xfId="0" applyFill="1" applyBorder="1"/>
    <xf numFmtId="0" fontId="0" fillId="15" borderId="117" xfId="0" applyFill="1" applyBorder="1"/>
    <xf numFmtId="0" fontId="0" fillId="14" borderId="117" xfId="0" applyFill="1" applyBorder="1"/>
    <xf numFmtId="0" fontId="0" fillId="16" borderId="117" xfId="0" applyFill="1" applyBorder="1"/>
    <xf numFmtId="0" fontId="0" fillId="11" borderId="117" xfId="0" applyFill="1" applyBorder="1"/>
    <xf numFmtId="0" fontId="0" fillId="17" borderId="117" xfId="0" applyFill="1" applyBorder="1"/>
    <xf numFmtId="0" fontId="0" fillId="17" borderId="118" xfId="0" applyFill="1" applyBorder="1"/>
    <xf numFmtId="0" fontId="22" fillId="12" borderId="77" xfId="0" applyFont="1" applyFill="1" applyBorder="1" applyAlignment="1">
      <alignment horizontal="center" vertical="center"/>
    </xf>
    <xf numFmtId="9" fontId="0" fillId="13" borderId="119" xfId="2" applyFont="1" applyFill="1" applyBorder="1"/>
    <xf numFmtId="9" fontId="0" fillId="15" borderId="120" xfId="2" applyFont="1" applyFill="1" applyBorder="1"/>
    <xf numFmtId="9" fontId="0" fillId="14" borderId="120" xfId="2" applyFont="1" applyFill="1" applyBorder="1"/>
    <xf numFmtId="9" fontId="0" fillId="16" borderId="120" xfId="2" applyFont="1" applyFill="1" applyBorder="1"/>
    <xf numFmtId="9" fontId="0" fillId="11" borderId="120" xfId="2" applyFont="1" applyFill="1" applyBorder="1"/>
    <xf numFmtId="9" fontId="0" fillId="17" borderId="120" xfId="2" applyFont="1" applyFill="1" applyBorder="1"/>
    <xf numFmtId="9" fontId="0" fillId="17" borderId="121" xfId="2" applyFont="1" applyFill="1" applyBorder="1"/>
    <xf numFmtId="0" fontId="0" fillId="13" borderId="116" xfId="0" applyFill="1" applyBorder="1" applyAlignment="1">
      <alignment horizontal="center" vertical="center"/>
    </xf>
    <xf numFmtId="0" fontId="0" fillId="15" borderId="117" xfId="0" applyFill="1" applyBorder="1" applyAlignment="1">
      <alignment horizontal="center" vertical="center"/>
    </xf>
    <xf numFmtId="0" fontId="0" fillId="14" borderId="117" xfId="0" applyFill="1" applyBorder="1" applyAlignment="1">
      <alignment horizontal="center" vertical="center"/>
    </xf>
    <xf numFmtId="0" fontId="0" fillId="16" borderId="117" xfId="0" applyFill="1" applyBorder="1" applyAlignment="1">
      <alignment horizontal="center" vertical="center"/>
    </xf>
    <xf numFmtId="0" fontId="0" fillId="11" borderId="117" xfId="0" applyFill="1" applyBorder="1" applyAlignment="1">
      <alignment horizontal="center" vertical="center"/>
    </xf>
    <xf numFmtId="0" fontId="0" fillId="17" borderId="117" xfId="0" applyFill="1" applyBorder="1" applyAlignment="1">
      <alignment horizontal="center" vertical="center"/>
    </xf>
    <xf numFmtId="0" fontId="0" fillId="17" borderId="118" xfId="0" applyFill="1" applyBorder="1" applyAlignment="1">
      <alignment horizontal="center" vertical="center"/>
    </xf>
    <xf numFmtId="0" fontId="4" fillId="13" borderId="116" xfId="0" applyFont="1" applyFill="1" applyBorder="1"/>
    <xf numFmtId="0" fontId="4" fillId="15" borderId="117" xfId="0" applyFont="1" applyFill="1" applyBorder="1"/>
    <xf numFmtId="0" fontId="4" fillId="14" borderId="117" xfId="0" applyFont="1" applyFill="1" applyBorder="1"/>
    <xf numFmtId="0" fontId="4" fillId="16" borderId="117" xfId="0" applyFont="1" applyFill="1" applyBorder="1"/>
    <xf numFmtId="0" fontId="4" fillId="11" borderId="117" xfId="0" applyFont="1" applyFill="1" applyBorder="1"/>
    <xf numFmtId="0" fontId="4" fillId="17" borderId="117" xfId="0" applyFont="1" applyFill="1" applyBorder="1"/>
    <xf numFmtId="0" fontId="4" fillId="17" borderId="118" xfId="0" applyFont="1" applyFill="1" applyBorder="1"/>
    <xf numFmtId="9" fontId="0" fillId="13" borderId="116" xfId="2" applyFont="1" applyFill="1" applyBorder="1"/>
    <xf numFmtId="9" fontId="0" fillId="15" borderId="117" xfId="2" applyFont="1" applyFill="1" applyBorder="1"/>
    <xf numFmtId="9" fontId="0" fillId="14" borderId="117" xfId="2" applyFont="1" applyFill="1" applyBorder="1"/>
    <xf numFmtId="9" fontId="0" fillId="16" borderId="117" xfId="2" applyFont="1" applyFill="1" applyBorder="1"/>
    <xf numFmtId="9" fontId="0" fillId="17" borderId="117" xfId="2" applyFont="1" applyFill="1" applyBorder="1"/>
    <xf numFmtId="9" fontId="0" fillId="17" borderId="118" xfId="2" applyFont="1" applyFill="1" applyBorder="1"/>
    <xf numFmtId="0" fontId="3" fillId="0" borderId="2" xfId="0" applyFont="1" applyBorder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/>
    </xf>
    <xf numFmtId="0" fontId="23" fillId="18" borderId="2" xfId="0" applyFont="1" applyFill="1" applyBorder="1" applyAlignment="1">
      <alignment horizontal="center" vertical="center"/>
    </xf>
    <xf numFmtId="0" fontId="23" fillId="19" borderId="123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3" fillId="18" borderId="125" xfId="0" applyFont="1" applyFill="1" applyBorder="1" applyAlignment="1">
      <alignment horizontal="center" vertical="center"/>
    </xf>
    <xf numFmtId="0" fontId="23" fillId="21" borderId="112" xfId="0" applyFont="1" applyFill="1" applyBorder="1" applyAlignment="1">
      <alignment horizontal="center" vertical="center"/>
    </xf>
    <xf numFmtId="0" fontId="6" fillId="5" borderId="95" xfId="0" applyFont="1" applyFill="1" applyBorder="1" applyAlignment="1">
      <alignment horizontal="center" vertical="center"/>
    </xf>
    <xf numFmtId="0" fontId="6" fillId="5" borderId="96" xfId="0" applyFont="1" applyFill="1" applyBorder="1" applyAlignment="1">
      <alignment horizontal="center" vertical="center"/>
    </xf>
    <xf numFmtId="0" fontId="6" fillId="5" borderId="128" xfId="0" applyFont="1" applyFill="1" applyBorder="1" applyAlignment="1">
      <alignment horizontal="center" vertical="center"/>
    </xf>
    <xf numFmtId="0" fontId="6" fillId="5" borderId="129" xfId="0" applyFont="1" applyFill="1" applyBorder="1" applyAlignment="1">
      <alignment horizontal="center" vertical="center"/>
    </xf>
    <xf numFmtId="0" fontId="6" fillId="5" borderId="130" xfId="0" applyFont="1" applyFill="1" applyBorder="1" applyAlignment="1">
      <alignment horizontal="center" vertical="center"/>
    </xf>
    <xf numFmtId="0" fontId="6" fillId="5" borderId="131" xfId="0" applyFont="1" applyFill="1" applyBorder="1" applyAlignment="1">
      <alignment horizontal="center" vertical="center"/>
    </xf>
    <xf numFmtId="0" fontId="6" fillId="5" borderId="133" xfId="0" applyFont="1" applyFill="1" applyBorder="1" applyAlignment="1">
      <alignment horizontal="center" vertical="center"/>
    </xf>
    <xf numFmtId="0" fontId="6" fillId="5" borderId="135" xfId="0" applyFont="1" applyFill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92" xfId="0" applyFont="1" applyBorder="1" applyAlignment="1">
      <alignment horizontal="left" vertical="center"/>
    </xf>
    <xf numFmtId="0" fontId="7" fillId="0" borderId="92" xfId="0" applyFont="1" applyBorder="1" applyAlignment="1">
      <alignment horizontal="left" vertical="center" wrapText="1"/>
    </xf>
    <xf numFmtId="0" fontId="7" fillId="0" borderId="92" xfId="0" applyFont="1" applyBorder="1" applyAlignment="1">
      <alignment horizontal="center" vertical="center" wrapText="1"/>
    </xf>
    <xf numFmtId="10" fontId="7" fillId="0" borderId="92" xfId="0" applyNumberFormat="1" applyFont="1" applyBorder="1" applyAlignment="1">
      <alignment horizontal="center" vertical="center"/>
    </xf>
    <xf numFmtId="0" fontId="9" fillId="0" borderId="92" xfId="0" applyFont="1" applyBorder="1" applyAlignment="1">
      <alignment horizontal="left" vertical="center"/>
    </xf>
    <xf numFmtId="0" fontId="7" fillId="0" borderId="52" xfId="0" applyFont="1" applyBorder="1" applyAlignment="1">
      <alignment horizontal="center" vertical="center"/>
    </xf>
    <xf numFmtId="0" fontId="7" fillId="0" borderId="99" xfId="0" applyFont="1" applyBorder="1" applyAlignment="1">
      <alignment horizontal="left" vertical="center"/>
    </xf>
    <xf numFmtId="0" fontId="7" fillId="0" borderId="99" xfId="0" applyFont="1" applyBorder="1" applyAlignment="1">
      <alignment horizontal="left" vertical="center" wrapText="1"/>
    </xf>
    <xf numFmtId="0" fontId="7" fillId="0" borderId="99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 wrapText="1"/>
    </xf>
    <xf numFmtId="14" fontId="7" fillId="0" borderId="99" xfId="0" applyNumberFormat="1" applyFont="1" applyBorder="1" applyAlignment="1">
      <alignment horizontal="center" vertical="center" wrapText="1"/>
    </xf>
    <xf numFmtId="10" fontId="7" fillId="0" borderId="99" xfId="0" applyNumberFormat="1" applyFont="1" applyBorder="1" applyAlignment="1">
      <alignment horizontal="center" vertical="center"/>
    </xf>
    <xf numFmtId="10" fontId="7" fillId="0" borderId="11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94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 wrapText="1"/>
    </xf>
    <xf numFmtId="0" fontId="7" fillId="0" borderId="94" xfId="0" applyFont="1" applyBorder="1" applyAlignment="1">
      <alignment horizontal="center" vertical="center"/>
    </xf>
    <xf numFmtId="10" fontId="7" fillId="0" borderId="94" xfId="0" applyNumberFormat="1" applyFont="1" applyBorder="1" applyAlignment="1">
      <alignment horizontal="center" vertical="center"/>
    </xf>
    <xf numFmtId="10" fontId="6" fillId="0" borderId="78" xfId="0" applyNumberFormat="1" applyFont="1" applyBorder="1" applyAlignment="1">
      <alignment horizontal="center" vertical="center"/>
    </xf>
    <xf numFmtId="0" fontId="7" fillId="0" borderId="94" xfId="0" applyFont="1" applyBorder="1" applyAlignment="1">
      <alignment horizontal="center" vertical="center" wrapText="1"/>
    </xf>
    <xf numFmtId="2" fontId="7" fillId="0" borderId="99" xfId="0" applyNumberFormat="1" applyFont="1" applyBorder="1" applyAlignment="1">
      <alignment horizontal="center" vertical="center" wrapText="1"/>
    </xf>
    <xf numFmtId="2" fontId="7" fillId="0" borderId="92" xfId="0" applyNumberFormat="1" applyFont="1" applyBorder="1" applyAlignment="1">
      <alignment horizontal="center" vertical="center" wrapText="1"/>
    </xf>
    <xf numFmtId="2" fontId="7" fillId="0" borderId="94" xfId="0" applyNumberFormat="1" applyFont="1" applyBorder="1" applyAlignment="1">
      <alignment horizontal="center" vertical="center" wrapText="1"/>
    </xf>
    <xf numFmtId="14" fontId="7" fillId="0" borderId="100" xfId="0" applyNumberFormat="1" applyFont="1" applyBorder="1" applyAlignment="1">
      <alignment horizontal="center" vertical="center" wrapText="1"/>
    </xf>
    <xf numFmtId="14" fontId="7" fillId="0" borderId="72" xfId="0" applyNumberFormat="1" applyFont="1" applyBorder="1" applyAlignment="1">
      <alignment horizontal="center" vertical="center" wrapText="1"/>
    </xf>
    <xf numFmtId="14" fontId="7" fillId="0" borderId="73" xfId="0" applyNumberFormat="1" applyFont="1" applyBorder="1" applyAlignment="1">
      <alignment horizontal="center" vertical="center" wrapText="1"/>
    </xf>
    <xf numFmtId="10" fontId="7" fillId="0" borderId="137" xfId="0" applyNumberFormat="1" applyFont="1" applyBorder="1" applyAlignment="1">
      <alignment horizontal="center" vertical="center"/>
    </xf>
    <xf numFmtId="10" fontId="7" fillId="0" borderId="126" xfId="0" applyNumberFormat="1" applyFont="1" applyBorder="1" applyAlignment="1">
      <alignment horizontal="center" vertical="center"/>
    </xf>
    <xf numFmtId="10" fontId="7" fillId="0" borderId="138" xfId="0" applyNumberFormat="1" applyFont="1" applyBorder="1" applyAlignment="1">
      <alignment horizontal="center" vertical="center"/>
    </xf>
    <xf numFmtId="10" fontId="7" fillId="0" borderId="78" xfId="0" applyNumberFormat="1" applyFont="1" applyBorder="1" applyAlignment="1">
      <alignment horizontal="center" vertical="center"/>
    </xf>
    <xf numFmtId="10" fontId="7" fillId="0" borderId="48" xfId="0" applyNumberFormat="1" applyFont="1" applyBorder="1" applyAlignment="1">
      <alignment horizontal="center" vertical="center"/>
    </xf>
    <xf numFmtId="10" fontId="7" fillId="0" borderId="50" xfId="0" applyNumberFormat="1" applyFont="1" applyBorder="1" applyAlignment="1">
      <alignment horizontal="center" vertical="center"/>
    </xf>
    <xf numFmtId="0" fontId="6" fillId="4" borderId="134" xfId="0" applyFont="1" applyFill="1" applyBorder="1" applyAlignment="1">
      <alignment horizontal="center" vertical="center"/>
    </xf>
    <xf numFmtId="0" fontId="6" fillId="4" borderId="135" xfId="0" applyFont="1" applyFill="1" applyBorder="1" applyAlignment="1">
      <alignment horizontal="center" vertical="center"/>
    </xf>
    <xf numFmtId="10" fontId="6" fillId="0" borderId="52" xfId="0" applyNumberFormat="1" applyFont="1" applyBorder="1" applyAlignment="1">
      <alignment horizontal="center" vertical="center"/>
    </xf>
    <xf numFmtId="10" fontId="6" fillId="0" borderId="114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center" vertical="center"/>
    </xf>
    <xf numFmtId="10" fontId="6" fillId="0" borderId="16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 vertical="center" wrapText="1"/>
    </xf>
    <xf numFmtId="10" fontId="6" fillId="0" borderId="23" xfId="0" applyNumberFormat="1" applyFont="1" applyBorder="1" applyAlignment="1">
      <alignment horizontal="center" vertical="center"/>
    </xf>
    <xf numFmtId="10" fontId="6" fillId="0" borderId="24" xfId="0" applyNumberFormat="1" applyFont="1" applyBorder="1" applyAlignment="1">
      <alignment horizontal="center" vertical="center"/>
    </xf>
    <xf numFmtId="9" fontId="3" fillId="0" borderId="2" xfId="2" quotePrefix="1" applyFont="1" applyBorder="1"/>
    <xf numFmtId="0" fontId="3" fillId="17" borderId="118" xfId="0" applyFont="1" applyFill="1" applyBorder="1" applyAlignment="1">
      <alignment horizontal="center" vertical="center"/>
    </xf>
    <xf numFmtId="0" fontId="3" fillId="11" borderId="117" xfId="0" applyFont="1" applyFill="1" applyBorder="1" applyAlignment="1">
      <alignment horizontal="center" vertical="center"/>
    </xf>
    <xf numFmtId="0" fontId="3" fillId="16" borderId="117" xfId="0" applyFont="1" applyFill="1" applyBorder="1" applyAlignment="1">
      <alignment horizontal="center" vertical="center"/>
    </xf>
    <xf numFmtId="0" fontId="3" fillId="14" borderId="117" xfId="0" applyFont="1" applyFill="1" applyBorder="1" applyAlignment="1">
      <alignment horizontal="center" vertical="center"/>
    </xf>
    <xf numFmtId="0" fontId="3" fillId="15" borderId="117" xfId="0" applyFont="1" applyFill="1" applyBorder="1" applyAlignment="1">
      <alignment horizontal="center" vertical="center"/>
    </xf>
    <xf numFmtId="0" fontId="3" fillId="13" borderId="116" xfId="0" applyFont="1" applyFill="1" applyBorder="1" applyAlignment="1">
      <alignment horizontal="center" vertical="center"/>
    </xf>
    <xf numFmtId="0" fontId="4" fillId="13" borderId="139" xfId="0" applyFont="1" applyFill="1" applyBorder="1"/>
    <xf numFmtId="0" fontId="4" fillId="15" borderId="140" xfId="0" applyFont="1" applyFill="1" applyBorder="1"/>
    <xf numFmtId="0" fontId="4" fillId="14" borderId="140" xfId="0" applyFont="1" applyFill="1" applyBorder="1"/>
    <xf numFmtId="0" fontId="4" fillId="16" borderId="140" xfId="0" applyFont="1" applyFill="1" applyBorder="1"/>
    <xf numFmtId="0" fontId="4" fillId="11" borderId="140" xfId="0" applyFont="1" applyFill="1" applyBorder="1"/>
    <xf numFmtId="0" fontId="4" fillId="17" borderId="140" xfId="0" applyFont="1" applyFill="1" applyBorder="1"/>
    <xf numFmtId="0" fontId="4" fillId="17" borderId="141" xfId="0" applyFont="1" applyFill="1" applyBorder="1"/>
    <xf numFmtId="9" fontId="0" fillId="0" borderId="78" xfId="2" applyFont="1" applyBorder="1" applyAlignment="1">
      <alignment horizontal="left"/>
    </xf>
    <xf numFmtId="9" fontId="0" fillId="0" borderId="48" xfId="2" applyFont="1" applyBorder="1" applyAlignment="1">
      <alignment horizontal="left"/>
    </xf>
    <xf numFmtId="9" fontId="0" fillId="0" borderId="50" xfId="2" applyFont="1" applyBorder="1" applyAlignment="1">
      <alignment horizontal="left"/>
    </xf>
    <xf numFmtId="0" fontId="3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7" borderId="117" xfId="0" applyFont="1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8" fillId="13" borderId="116" xfId="0" applyFont="1" applyFill="1" applyBorder="1" applyAlignment="1">
      <alignment horizontal="center" vertical="center"/>
    </xf>
    <xf numFmtId="0" fontId="8" fillId="15" borderId="117" xfId="0" applyFont="1" applyFill="1" applyBorder="1" applyAlignment="1">
      <alignment horizontal="center" vertical="center"/>
    </xf>
    <xf numFmtId="0" fontId="8" fillId="14" borderId="117" xfId="0" applyFont="1" applyFill="1" applyBorder="1" applyAlignment="1">
      <alignment horizontal="center" vertical="center"/>
    </xf>
    <xf numFmtId="0" fontId="8" fillId="16" borderId="117" xfId="0" applyFont="1" applyFill="1" applyBorder="1" applyAlignment="1">
      <alignment horizontal="center" vertical="center"/>
    </xf>
    <xf numFmtId="0" fontId="8" fillId="11" borderId="117" xfId="0" applyFont="1" applyFill="1" applyBorder="1" applyAlignment="1">
      <alignment horizontal="center" vertical="center"/>
    </xf>
    <xf numFmtId="0" fontId="8" fillId="17" borderId="117" xfId="0" applyFont="1" applyFill="1" applyBorder="1" applyAlignment="1">
      <alignment horizontal="center" vertical="center"/>
    </xf>
    <xf numFmtId="0" fontId="8" fillId="17" borderId="118" xfId="0" applyFont="1" applyFill="1" applyBorder="1" applyAlignment="1">
      <alignment horizontal="center" vertical="center"/>
    </xf>
    <xf numFmtId="0" fontId="6" fillId="0" borderId="78" xfId="0" quotePrefix="1" applyFont="1" applyBorder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/>
    </xf>
    <xf numFmtId="0" fontId="19" fillId="0" borderId="37" xfId="0" applyFont="1" applyBorder="1"/>
    <xf numFmtId="0" fontId="19" fillId="0" borderId="38" xfId="0" applyFont="1" applyBorder="1"/>
    <xf numFmtId="0" fontId="19" fillId="0" borderId="39" xfId="0" applyFont="1" applyBorder="1" applyAlignment="1">
      <alignment horizontal="center" vertical="center"/>
    </xf>
    <xf numFmtId="0" fontId="6" fillId="0" borderId="9" xfId="0" quotePrefix="1" applyFont="1" applyBorder="1" applyAlignment="1">
      <alignment horizontal="center" vertical="center"/>
    </xf>
    <xf numFmtId="0" fontId="23" fillId="19" borderId="122" xfId="0" applyFont="1" applyFill="1" applyBorder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0" fontId="23" fillId="19" borderId="123" xfId="0" applyFont="1" applyFill="1" applyBorder="1" applyAlignment="1">
      <alignment horizontal="center" vertical="center"/>
    </xf>
    <xf numFmtId="0" fontId="23" fillId="21" borderId="124" xfId="0" applyFont="1" applyFill="1" applyBorder="1" applyAlignment="1">
      <alignment horizontal="center" vertical="center"/>
    </xf>
    <xf numFmtId="0" fontId="23" fillId="21" borderId="123" xfId="0" applyFont="1" applyFill="1" applyBorder="1" applyAlignment="1">
      <alignment horizontal="center" vertical="center"/>
    </xf>
    <xf numFmtId="0" fontId="23" fillId="20" borderId="122" xfId="0" applyFont="1" applyFill="1" applyBorder="1" applyAlignment="1">
      <alignment horizontal="center" vertical="center"/>
    </xf>
    <xf numFmtId="0" fontId="23" fillId="20" borderId="0" xfId="0" applyFont="1" applyFill="1" applyAlignment="1">
      <alignment horizontal="center" vertical="center"/>
    </xf>
    <xf numFmtId="0" fontId="23" fillId="20" borderId="8" xfId="0" applyFont="1" applyFill="1" applyBorder="1" applyAlignment="1">
      <alignment horizontal="center" vertical="center"/>
    </xf>
    <xf numFmtId="0" fontId="23" fillId="19" borderId="112" xfId="0" applyFont="1" applyFill="1" applyBorder="1" applyAlignment="1">
      <alignment horizontal="center" vertical="center"/>
    </xf>
    <xf numFmtId="0" fontId="23" fillId="19" borderId="113" xfId="0" applyFont="1" applyFill="1" applyBorder="1" applyAlignment="1">
      <alignment horizontal="center" vertical="center"/>
    </xf>
    <xf numFmtId="0" fontId="23" fillId="19" borderId="42" xfId="0" applyFont="1" applyFill="1" applyBorder="1" applyAlignment="1">
      <alignment horizontal="center" vertical="center"/>
    </xf>
    <xf numFmtId="0" fontId="23" fillId="21" borderId="112" xfId="0" applyFont="1" applyFill="1" applyBorder="1" applyAlignment="1">
      <alignment horizontal="center" vertical="center"/>
    </xf>
    <xf numFmtId="0" fontId="23" fillId="21" borderId="113" xfId="0" applyFont="1" applyFill="1" applyBorder="1" applyAlignment="1">
      <alignment horizontal="center" vertical="center"/>
    </xf>
    <xf numFmtId="0" fontId="23" fillId="21" borderId="2" xfId="0" applyFont="1" applyFill="1" applyBorder="1" applyAlignment="1">
      <alignment horizontal="center" vertical="center"/>
    </xf>
    <xf numFmtId="0" fontId="23" fillId="21" borderId="42" xfId="0" applyFont="1" applyFill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6" borderId="75" xfId="0" applyFont="1" applyFill="1" applyBorder="1" applyAlignment="1">
      <alignment horizontal="center"/>
    </xf>
    <xf numFmtId="0" fontId="14" fillId="6" borderId="76" xfId="0" applyFont="1" applyFill="1" applyBorder="1" applyAlignment="1">
      <alignment horizontal="center"/>
    </xf>
    <xf numFmtId="0" fontId="16" fillId="6" borderId="83" xfId="0" applyFont="1" applyFill="1" applyBorder="1" applyAlignment="1">
      <alignment horizontal="right" vertical="center" wrapText="1"/>
    </xf>
    <xf numFmtId="0" fontId="16" fillId="6" borderId="21" xfId="0" applyFont="1" applyFill="1" applyBorder="1" applyAlignment="1">
      <alignment horizontal="right" vertical="center" wrapText="1"/>
    </xf>
    <xf numFmtId="0" fontId="16" fillId="6" borderId="84" xfId="0" applyFont="1" applyFill="1" applyBorder="1" applyAlignment="1">
      <alignment horizontal="right" vertical="center" wrapText="1"/>
    </xf>
    <xf numFmtId="0" fontId="16" fillId="6" borderId="75" xfId="0" applyFont="1" applyFill="1" applyBorder="1" applyAlignment="1">
      <alignment horizontal="center" vertical="center" wrapText="1"/>
    </xf>
    <xf numFmtId="0" fontId="16" fillId="6" borderId="76" xfId="0" applyFont="1" applyFill="1" applyBorder="1" applyAlignment="1">
      <alignment horizontal="center" vertical="center" wrapText="1"/>
    </xf>
    <xf numFmtId="0" fontId="16" fillId="6" borderId="77" xfId="0" applyFont="1" applyFill="1" applyBorder="1" applyAlignment="1">
      <alignment horizontal="center" vertical="center" wrapText="1"/>
    </xf>
    <xf numFmtId="0" fontId="16" fillId="6" borderId="45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16" fillId="6" borderId="75" xfId="0" applyFont="1" applyFill="1" applyBorder="1" applyAlignment="1">
      <alignment horizontal="center" vertical="center"/>
    </xf>
    <xf numFmtId="0" fontId="16" fillId="6" borderId="77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left" vertical="center" wrapText="1"/>
    </xf>
    <xf numFmtId="0" fontId="19" fillId="0" borderId="86" xfId="0" applyFont="1" applyBorder="1" applyAlignment="1">
      <alignment horizontal="left" vertical="center" wrapText="1"/>
    </xf>
    <xf numFmtId="0" fontId="16" fillId="6" borderId="21" xfId="0" applyFont="1" applyFill="1" applyBorder="1" applyAlignment="1">
      <alignment horizontal="right" vertical="center"/>
    </xf>
    <xf numFmtId="0" fontId="16" fillId="6" borderId="84" xfId="0" applyFont="1" applyFill="1" applyBorder="1" applyAlignment="1">
      <alignment horizontal="right" vertical="center"/>
    </xf>
    <xf numFmtId="10" fontId="16" fillId="6" borderId="83" xfId="0" applyNumberFormat="1" applyFont="1" applyFill="1" applyBorder="1" applyAlignment="1">
      <alignment horizontal="right" vertical="center"/>
    </xf>
    <xf numFmtId="10" fontId="16" fillId="6" borderId="21" xfId="0" applyNumberFormat="1" applyFont="1" applyFill="1" applyBorder="1" applyAlignment="1">
      <alignment horizontal="right" vertical="center"/>
    </xf>
    <xf numFmtId="10" fontId="16" fillId="6" borderId="84" xfId="0" applyNumberFormat="1" applyFont="1" applyFill="1" applyBorder="1" applyAlignment="1">
      <alignment horizontal="right" vertical="center"/>
    </xf>
    <xf numFmtId="0" fontId="16" fillId="6" borderId="55" xfId="0" applyFont="1" applyFill="1" applyBorder="1" applyAlignment="1">
      <alignment horizontal="center"/>
    </xf>
    <xf numFmtId="0" fontId="16" fillId="6" borderId="53" xfId="0" applyFont="1" applyFill="1" applyBorder="1" applyAlignment="1">
      <alignment horizontal="center"/>
    </xf>
    <xf numFmtId="0" fontId="16" fillId="6" borderId="56" xfId="0" applyFont="1" applyFill="1" applyBorder="1" applyAlignment="1">
      <alignment horizontal="center"/>
    </xf>
    <xf numFmtId="0" fontId="19" fillId="17" borderId="69" xfId="0" applyFont="1" applyFill="1" applyBorder="1" applyAlignment="1">
      <alignment horizontal="left"/>
    </xf>
    <xf numFmtId="0" fontId="19" fillId="17" borderId="0" xfId="0" applyFont="1" applyFill="1" applyAlignment="1">
      <alignment horizontal="left"/>
    </xf>
    <xf numFmtId="0" fontId="19" fillId="17" borderId="70" xfId="0" applyFont="1" applyFill="1" applyBorder="1" applyAlignment="1">
      <alignment horizontal="left"/>
    </xf>
    <xf numFmtId="0" fontId="19" fillId="17" borderId="71" xfId="0" applyFont="1" applyFill="1" applyBorder="1" applyAlignment="1">
      <alignment horizontal="left"/>
    </xf>
    <xf numFmtId="0" fontId="19" fillId="17" borderId="41" xfId="0" applyFont="1" applyFill="1" applyBorder="1" applyAlignment="1">
      <alignment horizontal="left"/>
    </xf>
    <xf numFmtId="0" fontId="19" fillId="17" borderId="58" xfId="0" applyFont="1" applyFill="1" applyBorder="1" applyAlignment="1">
      <alignment horizontal="left"/>
    </xf>
    <xf numFmtId="0" fontId="19" fillId="16" borderId="69" xfId="0" applyFont="1" applyFill="1" applyBorder="1" applyAlignment="1">
      <alignment horizontal="left"/>
    </xf>
    <xf numFmtId="0" fontId="19" fillId="16" borderId="0" xfId="0" applyFont="1" applyFill="1" applyAlignment="1">
      <alignment horizontal="left"/>
    </xf>
    <xf numFmtId="0" fontId="19" fillId="16" borderId="70" xfId="0" applyFont="1" applyFill="1" applyBorder="1" applyAlignment="1">
      <alignment horizontal="left"/>
    </xf>
    <xf numFmtId="10" fontId="16" fillId="6" borderId="45" xfId="0" applyNumberFormat="1" applyFont="1" applyFill="1" applyBorder="1" applyAlignment="1">
      <alignment horizontal="center" vertical="center" wrapText="1"/>
    </xf>
    <xf numFmtId="10" fontId="16" fillId="6" borderId="36" xfId="0" applyNumberFormat="1" applyFont="1" applyFill="1" applyBorder="1" applyAlignment="1">
      <alignment horizontal="center" vertical="center" wrapText="1"/>
    </xf>
    <xf numFmtId="0" fontId="19" fillId="13" borderId="67" xfId="0" applyFont="1" applyFill="1" applyBorder="1" applyAlignment="1">
      <alignment horizontal="left"/>
    </xf>
    <xf numFmtId="0" fontId="19" fillId="13" borderId="40" xfId="0" applyFont="1" applyFill="1" applyBorder="1" applyAlignment="1">
      <alignment horizontal="left"/>
    </xf>
    <xf numFmtId="0" fontId="19" fillId="13" borderId="68" xfId="0" applyFont="1" applyFill="1" applyBorder="1" applyAlignment="1">
      <alignment horizontal="left"/>
    </xf>
    <xf numFmtId="0" fontId="19" fillId="15" borderId="69" xfId="0" applyFont="1" applyFill="1" applyBorder="1" applyAlignment="1">
      <alignment horizontal="left"/>
    </xf>
    <xf numFmtId="0" fontId="19" fillId="15" borderId="0" xfId="0" applyFont="1" applyFill="1" applyAlignment="1">
      <alignment horizontal="left"/>
    </xf>
    <xf numFmtId="0" fontId="19" fillId="15" borderId="70" xfId="0" applyFont="1" applyFill="1" applyBorder="1" applyAlignment="1">
      <alignment horizontal="left"/>
    </xf>
    <xf numFmtId="0" fontId="19" fillId="14" borderId="69" xfId="0" applyFont="1" applyFill="1" applyBorder="1" applyAlignment="1">
      <alignment horizontal="left"/>
    </xf>
    <xf numFmtId="0" fontId="19" fillId="14" borderId="0" xfId="0" applyFont="1" applyFill="1" applyAlignment="1">
      <alignment horizontal="left"/>
    </xf>
    <xf numFmtId="0" fontId="19" fillId="14" borderId="70" xfId="0" applyFont="1" applyFill="1" applyBorder="1" applyAlignment="1">
      <alignment horizontal="left"/>
    </xf>
    <xf numFmtId="0" fontId="19" fillId="11" borderId="69" xfId="0" applyFont="1" applyFill="1" applyBorder="1" applyAlignment="1">
      <alignment horizontal="left"/>
    </xf>
    <xf numFmtId="0" fontId="19" fillId="11" borderId="0" xfId="0" applyFont="1" applyFill="1" applyAlignment="1">
      <alignment horizontal="left"/>
    </xf>
    <xf numFmtId="0" fontId="19" fillId="11" borderId="70" xfId="0" applyFont="1" applyFill="1" applyBorder="1" applyAlignment="1">
      <alignment horizontal="left"/>
    </xf>
    <xf numFmtId="0" fontId="19" fillId="0" borderId="107" xfId="0" applyFont="1" applyBorder="1" applyAlignment="1">
      <alignment horizontal="left" vertical="center"/>
    </xf>
    <xf numFmtId="0" fontId="19" fillId="0" borderId="103" xfId="0" applyFont="1" applyBorder="1" applyAlignment="1">
      <alignment horizontal="left" vertical="center"/>
    </xf>
    <xf numFmtId="0" fontId="19" fillId="0" borderId="108" xfId="0" applyFont="1" applyBorder="1" applyAlignment="1">
      <alignment horizontal="left" vertical="center"/>
    </xf>
    <xf numFmtId="0" fontId="19" fillId="0" borderId="107" xfId="0" applyFont="1" applyBorder="1" applyAlignment="1">
      <alignment horizontal="left"/>
    </xf>
    <xf numFmtId="0" fontId="19" fillId="0" borderId="103" xfId="0" applyFont="1" applyBorder="1" applyAlignment="1">
      <alignment horizontal="left"/>
    </xf>
    <xf numFmtId="0" fontId="19" fillId="0" borderId="108" xfId="0" applyFont="1" applyBorder="1" applyAlignment="1">
      <alignment horizontal="left"/>
    </xf>
    <xf numFmtId="0" fontId="19" fillId="0" borderId="109" xfId="0" applyFont="1" applyBorder="1" applyAlignment="1">
      <alignment horizontal="left"/>
    </xf>
    <xf numFmtId="0" fontId="19" fillId="0" borderId="110" xfId="0" applyFont="1" applyBorder="1" applyAlignment="1">
      <alignment horizontal="left"/>
    </xf>
    <xf numFmtId="0" fontId="19" fillId="0" borderId="111" xfId="0" applyFont="1" applyBorder="1" applyAlignment="1">
      <alignment horizontal="left"/>
    </xf>
    <xf numFmtId="0" fontId="16" fillId="6" borderId="40" xfId="0" applyFont="1" applyFill="1" applyBorder="1" applyAlignment="1">
      <alignment horizontal="center" vertical="center" wrapText="1"/>
    </xf>
    <xf numFmtId="0" fontId="16" fillId="6" borderId="68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6" fillId="6" borderId="69" xfId="0" applyFont="1" applyFill="1" applyBorder="1" applyAlignment="1">
      <alignment horizontal="right" vertical="center"/>
    </xf>
    <xf numFmtId="0" fontId="16" fillId="6" borderId="71" xfId="0" applyFont="1" applyFill="1" applyBorder="1" applyAlignment="1">
      <alignment horizontal="right" vertical="center"/>
    </xf>
    <xf numFmtId="0" fontId="16" fillId="6" borderId="40" xfId="0" applyFont="1" applyFill="1" applyBorder="1" applyAlignment="1">
      <alignment horizontal="right" vertical="center" wrapText="1"/>
    </xf>
    <xf numFmtId="0" fontId="16" fillId="6" borderId="0" xfId="0" applyFont="1" applyFill="1" applyAlignment="1">
      <alignment horizontal="right" vertical="center" wrapText="1"/>
    </xf>
    <xf numFmtId="0" fontId="16" fillId="6" borderId="41" xfId="0" applyFont="1" applyFill="1" applyBorder="1" applyAlignment="1">
      <alignment horizontal="right" vertical="center" wrapText="1"/>
    </xf>
    <xf numFmtId="10" fontId="16" fillId="6" borderId="67" xfId="0" applyNumberFormat="1" applyFont="1" applyFill="1" applyBorder="1" applyAlignment="1">
      <alignment horizontal="right" vertical="center" wrapText="1"/>
    </xf>
    <xf numFmtId="10" fontId="16" fillId="6" borderId="69" xfId="0" applyNumberFormat="1" applyFont="1" applyFill="1" applyBorder="1" applyAlignment="1">
      <alignment horizontal="right" vertical="center"/>
    </xf>
    <xf numFmtId="10" fontId="16" fillId="6" borderId="71" xfId="0" applyNumberFormat="1" applyFont="1" applyFill="1" applyBorder="1" applyAlignment="1">
      <alignment horizontal="right" vertical="center"/>
    </xf>
    <xf numFmtId="0" fontId="16" fillId="6" borderId="67" xfId="0" applyFont="1" applyFill="1" applyBorder="1" applyAlignment="1">
      <alignment horizontal="right" vertical="center" wrapText="1"/>
    </xf>
    <xf numFmtId="0" fontId="16" fillId="6" borderId="69" xfId="0" applyFont="1" applyFill="1" applyBorder="1" applyAlignment="1">
      <alignment horizontal="right" vertical="center" wrapText="1"/>
    </xf>
    <xf numFmtId="0" fontId="16" fillId="6" borderId="71" xfId="0" applyFont="1" applyFill="1" applyBorder="1" applyAlignment="1">
      <alignment horizontal="right" vertical="center" wrapText="1"/>
    </xf>
    <xf numFmtId="0" fontId="19" fillId="0" borderId="104" xfId="0" applyFont="1" applyBorder="1" applyAlignment="1">
      <alignment horizontal="left" vertical="center"/>
    </xf>
    <xf numFmtId="0" fontId="19" fillId="0" borderId="105" xfId="0" applyFont="1" applyBorder="1" applyAlignment="1">
      <alignment horizontal="left" vertical="center"/>
    </xf>
    <xf numFmtId="0" fontId="19" fillId="0" borderId="106" xfId="0" applyFont="1" applyBorder="1" applyAlignment="1">
      <alignment horizontal="left" vertical="center"/>
    </xf>
    <xf numFmtId="0" fontId="16" fillId="6" borderId="46" xfId="0" applyFont="1" applyFill="1" applyBorder="1" applyAlignment="1">
      <alignment horizontal="center" vertical="center" wrapText="1"/>
    </xf>
    <xf numFmtId="0" fontId="16" fillId="6" borderId="97" xfId="0" applyFont="1" applyFill="1" applyBorder="1" applyAlignment="1">
      <alignment horizontal="center" vertical="center"/>
    </xf>
    <xf numFmtId="0" fontId="16" fillId="6" borderId="101" xfId="0" applyFont="1" applyFill="1" applyBorder="1" applyAlignment="1">
      <alignment horizontal="center" vertical="center"/>
    </xf>
    <xf numFmtId="0" fontId="16" fillId="6" borderId="102" xfId="0" applyFont="1" applyFill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14" fillId="6" borderId="77" xfId="0" applyFont="1" applyFill="1" applyBorder="1" applyAlignment="1">
      <alignment horizontal="center"/>
    </xf>
    <xf numFmtId="0" fontId="16" fillId="6" borderId="83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6" fillId="6" borderId="88" xfId="0" applyFont="1" applyFill="1" applyBorder="1" applyAlignment="1">
      <alignment horizontal="center" vertical="center" wrapText="1"/>
    </xf>
    <xf numFmtId="0" fontId="16" fillId="6" borderId="89" xfId="0" applyFont="1" applyFill="1" applyBorder="1" applyAlignment="1">
      <alignment horizontal="center" vertical="center" wrapText="1"/>
    </xf>
    <xf numFmtId="0" fontId="16" fillId="6" borderId="80" xfId="0" applyFont="1" applyFill="1" applyBorder="1" applyAlignment="1">
      <alignment horizontal="center" vertical="center"/>
    </xf>
    <xf numFmtId="0" fontId="16" fillId="6" borderId="81" xfId="0" applyFont="1" applyFill="1" applyBorder="1" applyAlignment="1">
      <alignment horizontal="center" vertical="center"/>
    </xf>
    <xf numFmtId="0" fontId="14" fillId="6" borderId="63" xfId="0" applyFont="1" applyFill="1" applyBorder="1" applyAlignment="1">
      <alignment horizontal="center" vertical="center"/>
    </xf>
    <xf numFmtId="0" fontId="14" fillId="6" borderId="98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4" fillId="6" borderId="64" xfId="0" applyFont="1" applyFill="1" applyBorder="1" applyAlignment="1">
      <alignment horizontal="center" vertical="center"/>
    </xf>
    <xf numFmtId="0" fontId="15" fillId="6" borderId="3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14" fontId="6" fillId="0" borderId="45" xfId="0" applyNumberFormat="1" applyFont="1" applyBorder="1" applyAlignment="1">
      <alignment horizontal="center" vertical="center"/>
    </xf>
    <xf numFmtId="14" fontId="6" fillId="0" borderId="36" xfId="0" applyNumberFormat="1" applyFont="1" applyBorder="1" applyAlignment="1">
      <alignment horizontal="center" vertical="center"/>
    </xf>
    <xf numFmtId="14" fontId="6" fillId="0" borderId="46" xfId="0" applyNumberFormat="1" applyFont="1" applyBorder="1" applyAlignment="1">
      <alignment horizontal="center" vertical="center"/>
    </xf>
    <xf numFmtId="0" fontId="6" fillId="5" borderId="124" xfId="0" applyFont="1" applyFill="1" applyBorder="1" applyAlignment="1">
      <alignment horizontal="center" vertical="center"/>
    </xf>
    <xf numFmtId="0" fontId="6" fillId="5" borderId="127" xfId="0" applyFont="1" applyFill="1" applyBorder="1" applyAlignment="1">
      <alignment horizontal="center" vertical="center"/>
    </xf>
    <xf numFmtId="9" fontId="6" fillId="5" borderId="61" xfId="0" applyNumberFormat="1" applyFont="1" applyFill="1" applyBorder="1" applyAlignment="1">
      <alignment horizontal="center" vertical="center"/>
    </xf>
    <xf numFmtId="0" fontId="6" fillId="5" borderId="62" xfId="0" applyFont="1" applyFill="1" applyBorder="1" applyAlignment="1">
      <alignment horizontal="center" vertical="center"/>
    </xf>
    <xf numFmtId="0" fontId="6" fillId="5" borderId="123" xfId="0" applyFont="1" applyFill="1" applyBorder="1" applyAlignment="1">
      <alignment horizontal="center" vertical="center"/>
    </xf>
    <xf numFmtId="0" fontId="6" fillId="5" borderId="136" xfId="0" applyFont="1" applyFill="1" applyBorder="1" applyAlignment="1">
      <alignment horizontal="center" vertical="center"/>
    </xf>
    <xf numFmtId="9" fontId="6" fillId="5" borderId="54" xfId="0" applyNumberFormat="1" applyFont="1" applyFill="1" applyBorder="1" applyAlignment="1">
      <alignment horizontal="center" vertical="center"/>
    </xf>
    <xf numFmtId="0" fontId="6" fillId="5" borderId="60" xfId="0" applyFont="1" applyFill="1" applyBorder="1" applyAlignment="1">
      <alignment horizontal="center" vertical="center"/>
    </xf>
    <xf numFmtId="0" fontId="6" fillId="5" borderId="134" xfId="0" applyFont="1" applyFill="1" applyBorder="1" applyAlignment="1">
      <alignment horizontal="center" vertical="center"/>
    </xf>
    <xf numFmtId="0" fontId="6" fillId="5" borderId="125" xfId="0" applyFont="1" applyFill="1" applyBorder="1" applyAlignment="1">
      <alignment horizontal="center" vertical="center"/>
    </xf>
    <xf numFmtId="9" fontId="6" fillId="5" borderId="65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32" xfId="0" applyFont="1" applyFill="1" applyBorder="1" applyAlignment="1">
      <alignment horizontal="center" vertical="center"/>
    </xf>
    <xf numFmtId="9" fontId="6" fillId="5" borderId="59" xfId="0" applyNumberFormat="1" applyFont="1" applyFill="1" applyBorder="1" applyAlignment="1">
      <alignment horizontal="center" vertical="center"/>
    </xf>
    <xf numFmtId="0" fontId="6" fillId="5" borderId="54" xfId="0" applyFont="1" applyFill="1" applyBorder="1" applyAlignment="1">
      <alignment horizontal="center" vertical="center"/>
    </xf>
    <xf numFmtId="0" fontId="6" fillId="5" borderId="135" xfId="0" applyFont="1" applyFill="1" applyBorder="1" applyAlignment="1">
      <alignment horizontal="center" vertical="center"/>
    </xf>
    <xf numFmtId="9" fontId="6" fillId="5" borderId="3" xfId="0" applyNumberFormat="1" applyFont="1" applyFill="1" applyBorder="1" applyAlignment="1">
      <alignment horizontal="center" vertical="center"/>
    </xf>
    <xf numFmtId="0" fontId="6" fillId="5" borderId="57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5" borderId="55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0" fontId="6" fillId="5" borderId="56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40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2" borderId="83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88" xfId="0" applyFont="1" applyFill="1" applyBorder="1" applyAlignment="1">
      <alignment horizontal="center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</cellXfs>
  <cellStyles count="11">
    <cellStyle name="Moneda" xfId="10" builtinId="4"/>
    <cellStyle name="Moneda 2" xfId="4" xr:uid="{D1320C96-E4D8-49ED-B372-F44070FB837E}"/>
    <cellStyle name="Normal" xfId="0" builtinId="0"/>
    <cellStyle name="Normal 2" xfId="1" xr:uid="{00000000-0005-0000-0000-000001000000}"/>
    <cellStyle name="Normal 3" xfId="3" xr:uid="{4AA80466-299D-46F8-9B31-604177BE6B3F}"/>
    <cellStyle name="Normal 3 2" xfId="7" xr:uid="{1C6F9748-F12D-40A3-8387-68502AE41073}"/>
    <cellStyle name="Normal 4" xfId="6" xr:uid="{2DB5F1EB-DDE2-46B4-82C2-5A0D63B002D7}"/>
    <cellStyle name="Porcentaje" xfId="2" builtinId="5"/>
    <cellStyle name="Porcentaje 2" xfId="5" xr:uid="{2B5820DD-CF8D-4082-9667-51093C28BE6F}"/>
    <cellStyle name="Porcentaje 2 2" xfId="8" xr:uid="{BE87F4EE-821D-499C-8F06-8CA00FDBFE75}"/>
    <cellStyle name="Porcentaje 3" xfId="9" xr:uid="{18EA8C2B-F588-4B4E-AAE5-66CA6C30A3EA}"/>
  </cellStyles>
  <dxfs count="11"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rgb="FFBFBFBF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95B3D7"/>
        </patternFill>
      </fill>
    </dxf>
    <dxf>
      <font>
        <b/>
        <i val="0"/>
      </font>
      <fill>
        <patternFill>
          <bgColor rgb="FF95B3D7"/>
        </patternFill>
      </fill>
    </dxf>
    <dxf>
      <font>
        <b/>
        <i val="0"/>
      </font>
      <fill>
        <patternFill>
          <bgColor rgb="FFFABF8F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2D050"/>
      <color rgb="FFFABF8F"/>
      <color rgb="FF95B3D7"/>
      <color rgb="FFFFFF99"/>
      <color rgb="FFFF7C80"/>
      <color rgb="FFBFBFBF"/>
      <color rgb="FFCCFF99"/>
      <color rgb="FFE79999"/>
      <color rgb="FFFFFF5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200"/>
              <a:t>AVANCE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340398251567312"/>
          <c:y val="5.0269687162891034E-2"/>
          <c:w val="0.85992934572738644"/>
          <c:h val="0.9022653721682848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'Resumen Ejecutivo'!$F$74</c:f>
              <c:strCache>
                <c:ptCount val="1"/>
                <c:pt idx="0">
                  <c:v>AVANCE GLOBAL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50000"/>
                    <a:shade val="30000"/>
                    <a:satMod val="115000"/>
                  </a:schemeClr>
                </a:gs>
                <a:gs pos="50000">
                  <a:schemeClr val="bg1">
                    <a:lumMod val="50000"/>
                    <a:shade val="67500"/>
                    <a:satMod val="115000"/>
                  </a:schemeClr>
                </a:gs>
                <a:gs pos="100000">
                  <a:schemeClr val="bg1">
                    <a:lumMod val="50000"/>
                    <a:shade val="100000"/>
                    <a:satMod val="115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 w="3175" cap="flat" cmpd="sng" algn="ctr">
              <a:solidFill>
                <a:sysClr val="windowText" lastClr="000000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p3d contourW="3175">
              <a:contourClr>
                <a:sysClr val="windowText" lastClr="000000"/>
              </a:contourClr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Parque</a:t>
                    </a:r>
                  </a:p>
                  <a:p>
                    <a:fld id="{814F1D2B-9BFA-4D5C-A70B-E8351AB53A9B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8BA-4C3A-8B78-D353D6310C1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LT</a:t>
                    </a:r>
                  </a:p>
                  <a:p>
                    <a:fld id="{8FB9AA80-DBBB-47C3-AB85-C5F468D915CE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8BA-4C3A-8B78-D353D6310C1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Global</a:t>
                    </a:r>
                  </a:p>
                  <a:p>
                    <a:fld id="{8E90A936-495E-4A56-8F32-03890D46A9E4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8BA-4C3A-8B78-D353D6310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'Resumen Ejecutivo'!$K$74:$M$74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A-4C3A-8B78-D353D6310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81760543"/>
        <c:axId val="1972892399"/>
        <c:axId val="0"/>
      </c:bar3DChart>
      <c:catAx>
        <c:axId val="1981760543"/>
        <c:scaling>
          <c:orientation val="minMax"/>
        </c:scaling>
        <c:delete val="1"/>
        <c:axPos val="b"/>
        <c:majorTickMark val="none"/>
        <c:minorTickMark val="none"/>
        <c:tickLblPos val="nextTo"/>
        <c:crossAx val="1972892399"/>
        <c:crosses val="autoZero"/>
        <c:auto val="1"/>
        <c:lblAlgn val="ctr"/>
        <c:lblOffset val="100"/>
        <c:noMultiLvlLbl val="0"/>
      </c:catAx>
      <c:valAx>
        <c:axId val="19728923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MX"/>
          </a:p>
        </c:txPr>
        <c:crossAx val="198176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s-MX"/>
              <a:t>GRUPO DE ATENCIÓN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3175" cap="flat" cmpd="sng" algn="ctr">
              <a:solidFill>
                <a:sysClr val="windowText" lastClr="000000"/>
              </a:solidFill>
              <a:round/>
            </a:ln>
            <a:effectLst/>
            <a:sp3d contourW="3175">
              <a:contourClr>
                <a:sysClr val="windowText" lastClr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00B050">
                      <a:shade val="30000"/>
                      <a:satMod val="115000"/>
                    </a:srgbClr>
                  </a:gs>
                  <a:gs pos="50000">
                    <a:srgbClr val="00B050">
                      <a:shade val="67500"/>
                      <a:satMod val="115000"/>
                    </a:srgbClr>
                  </a:gs>
                  <a:gs pos="100000">
                    <a:srgbClr val="00B050">
                      <a:shade val="100000"/>
                      <a:satMod val="115000"/>
                    </a:srgb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w="3175" cap="flat" cmpd="sng" algn="ctr">
                <a:solidFill>
                  <a:sysClr val="windowText" lastClr="000000"/>
                </a:solidFill>
                <a:round/>
              </a:ln>
              <a:effectLst/>
              <a:sp3d contourW="3175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EA-4FDE-BFDA-88AFDF23E77E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FF00">
                      <a:shade val="30000"/>
                      <a:satMod val="115000"/>
                    </a:srgbClr>
                  </a:gs>
                  <a:gs pos="50000">
                    <a:srgbClr val="FFFF00">
                      <a:shade val="67500"/>
                      <a:satMod val="115000"/>
                    </a:srgbClr>
                  </a:gs>
                  <a:gs pos="100000">
                    <a:srgbClr val="FFFF00">
                      <a:shade val="100000"/>
                      <a:satMod val="115000"/>
                    </a:srgb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w="3175" cap="flat" cmpd="sng" algn="ctr">
                <a:solidFill>
                  <a:sysClr val="windowText" lastClr="000000"/>
                </a:solidFill>
                <a:round/>
              </a:ln>
              <a:effectLst/>
              <a:sp3d contourW="3175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5EA-4FDE-BFDA-88AFDF23E77E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w="3175" cap="flat" cmpd="sng" algn="ctr">
                <a:solidFill>
                  <a:sysClr val="windowText" lastClr="000000"/>
                </a:solidFill>
                <a:round/>
              </a:ln>
              <a:effectLst/>
              <a:sp3d contourW="3175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EA-4FDE-BFDA-88AFDF23E77E}"/>
              </c:ext>
            </c:extLst>
          </c:dPt>
          <c:dLbls>
            <c:dLbl>
              <c:idx val="0"/>
              <c:layout>
                <c:manualLayout>
                  <c:x val="2.2840827980014248E-2"/>
                  <c:y val="-3.42612419700214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Grupo</a:t>
                    </a:r>
                    <a:r>
                      <a:rPr lang="en-US" baseline="0"/>
                      <a:t> A</a:t>
                    </a:r>
                    <a:endParaRPr lang="en-US"/>
                  </a:p>
                  <a:p>
                    <a:fld id="{FCB8E7CE-D058-42E5-A1EB-779C1274993C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5EA-4FDE-BFDA-88AFDF23E77E}"/>
                </c:ext>
              </c:extLst>
            </c:dLbl>
            <c:dLbl>
              <c:idx val="1"/>
              <c:layout>
                <c:manualLayout>
                  <c:x val="2.8551034975018369E-3"/>
                  <c:y val="-2.99785867237687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Grupo B</a:t>
                    </a:r>
                  </a:p>
                  <a:p>
                    <a:fld id="{D20EE90E-5868-4A59-8A54-3349FAAF11E0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5EA-4FDE-BFDA-88AFDF23E7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  <a:p>
                    <a:r>
                      <a:rPr lang="en-US"/>
                      <a:t>Grupo C</a:t>
                    </a:r>
                  </a:p>
                  <a:p>
                    <a:fld id="{6F7EFFD5-F70B-4477-BBA4-5041DC5D91B3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5EA-4FDE-BFDA-88AFDF23E7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Ejecutivo'!$R$9:$R$11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'Resumen Ejecutivo'!$S$9:$S$11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A-4FDE-BFDA-88AFDF23E7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979623567"/>
        <c:axId val="1972878959"/>
        <c:axId val="0"/>
      </c:bar3DChart>
      <c:catAx>
        <c:axId val="1979623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2878959"/>
        <c:crosses val="autoZero"/>
        <c:auto val="1"/>
        <c:lblAlgn val="ctr"/>
        <c:lblOffset val="100"/>
        <c:noMultiLvlLbl val="0"/>
      </c:catAx>
      <c:valAx>
        <c:axId val="19728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MX"/>
          </a:p>
        </c:txPr>
        <c:crossAx val="197962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1</xdr:row>
      <xdr:rowOff>47625</xdr:rowOff>
    </xdr:from>
    <xdr:to>
      <xdr:col>3</xdr:col>
      <xdr:colOff>1323046</xdr:colOff>
      <xdr:row>4</xdr:row>
      <xdr:rowOff>133350</xdr:rowOff>
    </xdr:to>
    <xdr:pic>
      <xdr:nvPicPr>
        <xdr:cNvPr id="5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E99506A5-7EEC-406B-B1BC-E5643F247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4" y="228600"/>
          <a:ext cx="2542247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19051</xdr:colOff>
      <xdr:row>75</xdr:row>
      <xdr:rowOff>19049</xdr:rowOff>
    </xdr:from>
    <xdr:to>
      <xdr:col>4</xdr:col>
      <xdr:colOff>968114</xdr:colOff>
      <xdr:row>92</xdr:row>
      <xdr:rowOff>110424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3843EC-7283-5DB8-844C-2D6E5D886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1015999</xdr:colOff>
      <xdr:row>75</xdr:row>
      <xdr:rowOff>15873</xdr:rowOff>
    </xdr:from>
    <xdr:to>
      <xdr:col>15</xdr:col>
      <xdr:colOff>7624</xdr:colOff>
      <xdr:row>92</xdr:row>
      <xdr:rowOff>107248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BED02F-91BB-3163-EA8E-8EB4C21EE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1</xdr:row>
      <xdr:rowOff>47625</xdr:rowOff>
    </xdr:from>
    <xdr:to>
      <xdr:col>3</xdr:col>
      <xdr:colOff>1323046</xdr:colOff>
      <xdr:row>4</xdr:row>
      <xdr:rowOff>133350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8A041827-96E4-4E8B-85B6-9711155B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" y="133350"/>
          <a:ext cx="2542247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111919</xdr:colOff>
      <xdr:row>1</xdr:row>
      <xdr:rowOff>23811</xdr:rowOff>
    </xdr:from>
    <xdr:to>
      <xdr:col>5</xdr:col>
      <xdr:colOff>629516</xdr:colOff>
      <xdr:row>5</xdr:row>
      <xdr:rowOff>297656</xdr:rowOff>
    </xdr:to>
    <xdr:pic>
      <xdr:nvPicPr>
        <xdr:cNvPr id="4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1AB7C484-F946-4B3E-9F66-73A241241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7" y="190499"/>
          <a:ext cx="4791940" cy="98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F97-A91F-4115-9A98-6C206A130AA0}">
  <sheetPr>
    <tabColor rgb="FF0070C0"/>
    <pageSetUpPr fitToPage="1"/>
  </sheetPr>
  <dimension ref="B1:S117"/>
  <sheetViews>
    <sheetView zoomScaleNormal="100" zoomScaleSheetLayoutView="80" workbookViewId="0">
      <selection activeCell="C7" sqref="C7"/>
    </sheetView>
  </sheetViews>
  <sheetFormatPr baseColWidth="10" defaultColWidth="11.42578125" defaultRowHeight="13.5" x14ac:dyDescent="0.25"/>
  <cols>
    <col min="1" max="1" width="3" style="2" customWidth="1"/>
    <col min="2" max="2" width="2.42578125" style="2" bestFit="1" customWidth="1"/>
    <col min="3" max="3" width="23.5703125" style="3" bestFit="1" customWidth="1"/>
    <col min="4" max="4" width="39.42578125" style="2" bestFit="1" customWidth="1"/>
    <col min="5" max="5" width="24.28515625" style="2" bestFit="1" customWidth="1"/>
    <col min="6" max="6" width="14.5703125" style="2" bestFit="1" customWidth="1"/>
    <col min="7" max="7" width="10.28515625" style="2" bestFit="1" customWidth="1"/>
    <col min="8" max="8" width="19" style="2" customWidth="1"/>
    <col min="9" max="10" width="10.28515625" style="2" customWidth="1"/>
    <col min="11" max="13" width="10.140625" style="2" customWidth="1"/>
    <col min="14" max="14" width="1.140625" style="2" customWidth="1"/>
    <col min="15" max="15" width="10.140625" style="2" customWidth="1"/>
    <col min="16" max="16" width="1.140625" style="2" customWidth="1"/>
    <col min="17" max="17" width="11.42578125" style="2"/>
    <col min="18" max="18" width="3" style="2" customWidth="1"/>
    <col min="19" max="19" width="3.28515625" style="2" customWidth="1"/>
    <col min="20" max="16384" width="11.42578125" style="2"/>
  </cols>
  <sheetData>
    <row r="1" spans="2:19" ht="6.75" customHeight="1" thickBot="1" x14ac:dyDescent="0.3"/>
    <row r="2" spans="2:19" x14ac:dyDescent="0.25">
      <c r="C2" s="31"/>
      <c r="D2" s="34"/>
      <c r="E2" s="297" t="str">
        <f>+'Base valores'!AB2</f>
        <v>COMISIÓN FEDERAL DE ELECTRICIDAD</v>
      </c>
      <c r="F2" s="298"/>
      <c r="G2" s="298"/>
      <c r="H2" s="298"/>
      <c r="I2" s="298"/>
      <c r="J2" s="298"/>
      <c r="K2" s="298"/>
      <c r="L2" s="298"/>
      <c r="M2" s="298"/>
      <c r="N2" s="299"/>
      <c r="O2" s="37" t="s">
        <v>0</v>
      </c>
    </row>
    <row r="3" spans="2:19" x14ac:dyDescent="0.25">
      <c r="C3" s="32"/>
      <c r="D3" s="35"/>
      <c r="E3" s="300" t="str">
        <f>+'Base valores'!AB3</f>
        <v>COORDINACIÓN DE PROYECTOS DE ENERGÍAS LIMPIAS</v>
      </c>
      <c r="F3" s="301"/>
      <c r="G3" s="301"/>
      <c r="H3" s="301"/>
      <c r="I3" s="301"/>
      <c r="J3" s="301"/>
      <c r="K3" s="301"/>
      <c r="L3" s="301"/>
      <c r="M3" s="301"/>
      <c r="N3" s="302"/>
      <c r="O3" s="38">
        <v>3</v>
      </c>
    </row>
    <row r="4" spans="2:19" ht="14.25" thickBot="1" x14ac:dyDescent="0.3">
      <c r="C4" s="32"/>
      <c r="D4" s="35"/>
      <c r="E4" s="300" t="str">
        <f>+'Base valores'!AB4</f>
        <v>GERENCIA DE CONSTRUCCIÓN</v>
      </c>
      <c r="F4" s="301"/>
      <c r="G4" s="301"/>
      <c r="H4" s="301"/>
      <c r="I4" s="301"/>
      <c r="J4" s="301"/>
      <c r="K4" s="301"/>
      <c r="L4" s="301"/>
      <c r="M4" s="301"/>
      <c r="N4" s="302"/>
      <c r="O4" s="43">
        <f ca="1">TODAY()</f>
        <v>46322</v>
      </c>
    </row>
    <row r="5" spans="2:19" ht="16.5" thickBot="1" x14ac:dyDescent="0.3">
      <c r="C5" s="33"/>
      <c r="D5" s="36"/>
      <c r="E5" s="303" t="s">
        <v>361</v>
      </c>
      <c r="F5" s="304"/>
      <c r="G5" s="304"/>
      <c r="H5" s="304"/>
      <c r="I5" s="304"/>
      <c r="J5" s="304"/>
      <c r="K5" s="304"/>
      <c r="L5" s="304"/>
      <c r="M5" s="304"/>
      <c r="N5" s="304"/>
      <c r="O5" s="44"/>
    </row>
    <row r="6" spans="2:19" ht="6" customHeight="1" thickBot="1" x14ac:dyDescent="0.3"/>
    <row r="7" spans="2:19" ht="13.5" customHeight="1" x14ac:dyDescent="0.25">
      <c r="C7" s="75" t="s">
        <v>2</v>
      </c>
      <c r="D7" s="74" t="s">
        <v>3</v>
      </c>
      <c r="E7" s="74" t="s">
        <v>4</v>
      </c>
      <c r="F7" s="74" t="s">
        <v>335</v>
      </c>
      <c r="G7" s="73" t="s">
        <v>6</v>
      </c>
      <c r="H7" s="118" t="s">
        <v>7</v>
      </c>
      <c r="I7" s="71" t="s">
        <v>8</v>
      </c>
      <c r="J7" s="72" t="s">
        <v>9</v>
      </c>
      <c r="K7" s="322" t="s">
        <v>10</v>
      </c>
      <c r="L7" s="323"/>
      <c r="M7" s="324"/>
      <c r="O7" s="311" t="s">
        <v>11</v>
      </c>
    </row>
    <row r="8" spans="2:19" ht="14.25" customHeight="1" thickBot="1" x14ac:dyDescent="0.3">
      <c r="C8" s="77"/>
      <c r="D8" s="78"/>
      <c r="E8" s="78"/>
      <c r="F8" s="78"/>
      <c r="G8" s="79"/>
      <c r="H8" s="80"/>
      <c r="I8" s="81"/>
      <c r="J8" s="82"/>
      <c r="K8" s="40" t="s">
        <v>12</v>
      </c>
      <c r="L8" s="41" t="s">
        <v>13</v>
      </c>
      <c r="M8" s="42" t="s">
        <v>14</v>
      </c>
      <c r="O8" s="312"/>
    </row>
    <row r="9" spans="2:19" ht="14.25" thickBot="1" x14ac:dyDescent="0.3">
      <c r="B9" s="30">
        <v>1</v>
      </c>
      <c r="C9" s="70" t="str">
        <f>+'Base valores'!C11</f>
        <v>Invenergy Solar Development Mexico S de RL de CV</v>
      </c>
      <c r="D9" s="68" t="str">
        <f>+'Base valores'!D11</f>
        <v>Bura Energy Center II</v>
      </c>
      <c r="E9" s="68" t="str">
        <f>+'Base valores'!E11</f>
        <v>Tecate</v>
      </c>
      <c r="F9" s="68" t="str">
        <f>+'Base valores'!F11</f>
        <v>Baja California</v>
      </c>
      <c r="G9" s="69" t="str">
        <f>+'Base valores'!G11</f>
        <v>Fotovoltaica</v>
      </c>
      <c r="H9" s="277">
        <f>+'Base valores'!H11</f>
        <v>38</v>
      </c>
      <c r="I9" s="65" t="str">
        <f>+'Base valores'!I11</f>
        <v>-</v>
      </c>
      <c r="J9" s="66" t="str">
        <f>+'Base valores'!J11</f>
        <v>-</v>
      </c>
      <c r="K9" s="45">
        <f>+'Base valores'!AD11</f>
        <v>0</v>
      </c>
      <c r="L9" s="46">
        <f>+'Base valores'!AE11</f>
        <v>0</v>
      </c>
      <c r="M9" s="47">
        <f>+'Base valores'!AG11</f>
        <v>0</v>
      </c>
      <c r="O9" s="276" t="s">
        <v>17</v>
      </c>
      <c r="Q9" s="1"/>
      <c r="R9" s="10" t="s">
        <v>15</v>
      </c>
      <c r="S9" s="10">
        <f>COUNTIFS($O$9:$O$72,R9)</f>
        <v>0</v>
      </c>
    </row>
    <row r="10" spans="2:19" ht="14.25" thickBot="1" x14ac:dyDescent="0.3">
      <c r="B10" s="30">
        <v>2</v>
      </c>
      <c r="C10" s="70" t="str">
        <f>+'Base valores'!C12</f>
        <v>Energica Tenedora de Mexico SA de CV</v>
      </c>
      <c r="D10" s="68" t="str">
        <f>+'Base valores'!D12</f>
        <v>CFE Cerro Prieto</v>
      </c>
      <c r="E10" s="68" t="str">
        <f>+'Base valores'!E12</f>
        <v>Mexicali</v>
      </c>
      <c r="F10" s="68" t="str">
        <f>+'Base valores'!F12</f>
        <v>Baja California</v>
      </c>
      <c r="G10" s="69" t="str">
        <f>+'Base valores'!G12</f>
        <v>Fotovoltaica</v>
      </c>
      <c r="H10" s="277">
        <f>+'Base valores'!H12</f>
        <v>215</v>
      </c>
      <c r="I10" s="65" t="str">
        <f>+'Base valores'!I12</f>
        <v>-</v>
      </c>
      <c r="J10" s="66" t="str">
        <f>+'Base valores'!J12</f>
        <v>-</v>
      </c>
      <c r="K10" s="45">
        <f>+'Base valores'!AD12</f>
        <v>0</v>
      </c>
      <c r="L10" s="46">
        <f>+'Base valores'!AE12</f>
        <v>0</v>
      </c>
      <c r="M10" s="47">
        <f>+'Base valores'!AG12</f>
        <v>0</v>
      </c>
      <c r="O10" s="276" t="s">
        <v>17</v>
      </c>
      <c r="R10" s="10" t="s">
        <v>16</v>
      </c>
      <c r="S10" s="10">
        <f>COUNTIFS($O$9:$O$72,R10)</f>
        <v>0</v>
      </c>
    </row>
    <row r="11" spans="2:19" ht="14.25" thickBot="1" x14ac:dyDescent="0.3">
      <c r="B11" s="30">
        <v>3</v>
      </c>
      <c r="C11" s="70" t="str">
        <f>+'Base valores'!C13</f>
        <v>Energica Tenedora de Mexico SA de CV</v>
      </c>
      <c r="D11" s="68" t="str">
        <f>+'Base valores'!D13</f>
        <v>ICA Punta Colonet</v>
      </c>
      <c r="E11" s="68" t="str">
        <f>+'Base valores'!E13</f>
        <v>Ensenada</v>
      </c>
      <c r="F11" s="68" t="str">
        <f>+'Base valores'!F13</f>
        <v>Baja California</v>
      </c>
      <c r="G11" s="69" t="str">
        <f>+'Base valores'!G13</f>
        <v>Fotovoltaica</v>
      </c>
      <c r="H11" s="277">
        <f>+'Base valores'!H13</f>
        <v>120</v>
      </c>
      <c r="I11" s="65" t="str">
        <f>+'Base valores'!I13</f>
        <v>-</v>
      </c>
      <c r="J11" s="66" t="str">
        <f>+'Base valores'!J13</f>
        <v>-</v>
      </c>
      <c r="K11" s="45">
        <f>+'Base valores'!AD13</f>
        <v>0</v>
      </c>
      <c r="L11" s="46">
        <f>+'Base valores'!AE13</f>
        <v>0</v>
      </c>
      <c r="M11" s="47">
        <f>+'Base valores'!AG13</f>
        <v>0</v>
      </c>
      <c r="O11" s="276" t="s">
        <v>17</v>
      </c>
      <c r="R11" s="10" t="s">
        <v>17</v>
      </c>
      <c r="S11" s="10">
        <f>COUNTIFS($O$9:$O$72,R11)</f>
        <v>64</v>
      </c>
    </row>
    <row r="12" spans="2:19" ht="14.25" thickBot="1" x14ac:dyDescent="0.3">
      <c r="B12" s="30">
        <v>4</v>
      </c>
      <c r="C12" s="70" t="str">
        <f>+'Base valores'!C14</f>
        <v>Energica Tenedora de Mexico SA de CV</v>
      </c>
      <c r="D12" s="68" t="str">
        <f>+'Base valores'!D14</f>
        <v>ICA San Luis Rio Colorado</v>
      </c>
      <c r="E12" s="68" t="str">
        <f>+'Base valores'!E14</f>
        <v>San Luis Río Colorado</v>
      </c>
      <c r="F12" s="68" t="str">
        <f>+'Base valores'!F14</f>
        <v>Sonora</v>
      </c>
      <c r="G12" s="69" t="str">
        <f>+'Base valores'!G14</f>
        <v>Fotovoltaica</v>
      </c>
      <c r="H12" s="277">
        <f>+'Base valores'!H14</f>
        <v>100</v>
      </c>
      <c r="I12" s="65" t="str">
        <f>+'Base valores'!I14</f>
        <v>-</v>
      </c>
      <c r="J12" s="66" t="str">
        <f>+'Base valores'!J14</f>
        <v>-</v>
      </c>
      <c r="K12" s="45">
        <f>+'Base valores'!AD14</f>
        <v>0</v>
      </c>
      <c r="L12" s="46">
        <f>+'Base valores'!AE14</f>
        <v>0</v>
      </c>
      <c r="M12" s="47">
        <f>+'Base valores'!AG14</f>
        <v>0</v>
      </c>
      <c r="O12" s="276" t="s">
        <v>17</v>
      </c>
    </row>
    <row r="13" spans="2:19" ht="14.25" thickBot="1" x14ac:dyDescent="0.3">
      <c r="B13" s="30">
        <v>5</v>
      </c>
      <c r="C13" s="70" t="str">
        <f>+'Base valores'!C15</f>
        <v>PYE Electrificaciones S de RL de CV</v>
      </c>
      <c r="D13" s="68" t="str">
        <f>+'Base valores'!D15</f>
        <v>Planta Solar Fotovoltaica Mesa Andrade I</v>
      </c>
      <c r="E13" s="68" t="str">
        <f>+'Base valores'!E15</f>
        <v>Mexicali</v>
      </c>
      <c r="F13" s="68" t="str">
        <f>+'Base valores'!F15</f>
        <v>Baja California</v>
      </c>
      <c r="G13" s="69" t="str">
        <f>+'Base valores'!G15</f>
        <v>Fotovoltaica</v>
      </c>
      <c r="H13" s="277">
        <f>+'Base valores'!H15</f>
        <v>132</v>
      </c>
      <c r="I13" s="65" t="str">
        <f>+'Base valores'!I15</f>
        <v>-</v>
      </c>
      <c r="J13" s="66" t="str">
        <f>+'Base valores'!J15</f>
        <v>-</v>
      </c>
      <c r="K13" s="45">
        <f>+'Base valores'!AD15</f>
        <v>0</v>
      </c>
      <c r="L13" s="46">
        <f>+'Base valores'!AE15</f>
        <v>0</v>
      </c>
      <c r="M13" s="47">
        <f>+'Base valores'!AG15</f>
        <v>0</v>
      </c>
      <c r="O13" s="276" t="s">
        <v>17</v>
      </c>
    </row>
    <row r="14" spans="2:19" ht="14.25" thickBot="1" x14ac:dyDescent="0.3">
      <c r="B14" s="30">
        <v>6</v>
      </c>
      <c r="C14" s="70" t="str">
        <f>+'Base valores'!C16</f>
        <v>Energia Firme Sigma S A P I de CV</v>
      </c>
      <c r="D14" s="68" t="str">
        <f>+'Base valores'!D16</f>
        <v>San Felipe Solar</v>
      </c>
      <c r="E14" s="68" t="str">
        <f>+'Base valores'!E16</f>
        <v>San Felipe</v>
      </c>
      <c r="F14" s="68" t="str">
        <f>+'Base valores'!F16</f>
        <v>Baja California</v>
      </c>
      <c r="G14" s="69" t="str">
        <f>+'Base valores'!G16</f>
        <v>Fotovoltaica</v>
      </c>
      <c r="H14" s="277">
        <f>+'Base valores'!H16</f>
        <v>100</v>
      </c>
      <c r="I14" s="65" t="str">
        <f>+'Base valores'!I16</f>
        <v>-</v>
      </c>
      <c r="J14" s="66" t="str">
        <f>+'Base valores'!J16</f>
        <v>-</v>
      </c>
      <c r="K14" s="45">
        <f>+'Base valores'!AD16</f>
        <v>0</v>
      </c>
      <c r="L14" s="46">
        <f>+'Base valores'!AE16</f>
        <v>0</v>
      </c>
      <c r="M14" s="47">
        <f>+'Base valores'!AG16</f>
        <v>0</v>
      </c>
      <c r="O14" s="276" t="s">
        <v>17</v>
      </c>
    </row>
    <row r="15" spans="2:19" ht="14.25" thickBot="1" x14ac:dyDescent="0.3">
      <c r="B15" s="30">
        <v>7</v>
      </c>
      <c r="C15" s="70" t="str">
        <f>+'Base valores'!C17</f>
        <v>Electrica Aselco SA de CV</v>
      </c>
      <c r="D15" s="68" t="str">
        <f>+'Base valores'!D17</f>
        <v>Insurgentes</v>
      </c>
      <c r="E15" s="68" t="str">
        <f>+'Base valores'!E17</f>
        <v>Comondú</v>
      </c>
      <c r="F15" s="68" t="str">
        <f>+'Base valores'!F17</f>
        <v>Baja California Sur</v>
      </c>
      <c r="G15" s="69" t="str">
        <f>+'Base valores'!G17</f>
        <v>Fotovoltaica</v>
      </c>
      <c r="H15" s="277">
        <f>+'Base valores'!H17</f>
        <v>36.58</v>
      </c>
      <c r="I15" s="65" t="str">
        <f>+'Base valores'!I17</f>
        <v>-</v>
      </c>
      <c r="J15" s="66" t="str">
        <f>+'Base valores'!J17</f>
        <v>-</v>
      </c>
      <c r="K15" s="45">
        <f>+'Base valores'!AD17</f>
        <v>0</v>
      </c>
      <c r="L15" s="46">
        <f>+'Base valores'!AE17</f>
        <v>0</v>
      </c>
      <c r="M15" s="47">
        <f>+'Base valores'!AG17</f>
        <v>0</v>
      </c>
      <c r="O15" s="276" t="s">
        <v>17</v>
      </c>
    </row>
    <row r="16" spans="2:19" ht="14.25" thickBot="1" x14ac:dyDescent="0.3">
      <c r="B16" s="30">
        <v>8</v>
      </c>
      <c r="C16" s="70" t="str">
        <f>+'Base valores'!C18</f>
        <v>Innovaciones Energeticas Inner SA de CV</v>
      </c>
      <c r="D16" s="68" t="str">
        <f>+'Base valores'!D18</f>
        <v>Loreto</v>
      </c>
      <c r="E16" s="68" t="str">
        <f>+'Base valores'!E18</f>
        <v>Loreto</v>
      </c>
      <c r="F16" s="68" t="str">
        <f>+'Base valores'!F18</f>
        <v>Baja California Sur</v>
      </c>
      <c r="G16" s="69" t="str">
        <f>+'Base valores'!G18</f>
        <v>Fotovoltaica</v>
      </c>
      <c r="H16" s="277">
        <f>+'Base valores'!H18</f>
        <v>50</v>
      </c>
      <c r="I16" s="65" t="str">
        <f>+'Base valores'!I18</f>
        <v>-</v>
      </c>
      <c r="J16" s="66" t="str">
        <f>+'Base valores'!J18</f>
        <v>-</v>
      </c>
      <c r="K16" s="45">
        <f>+'Base valores'!AD18</f>
        <v>0</v>
      </c>
      <c r="L16" s="46">
        <f>+'Base valores'!AE18</f>
        <v>0</v>
      </c>
      <c r="M16" s="47">
        <f>+'Base valores'!AG18</f>
        <v>0</v>
      </c>
      <c r="O16" s="276" t="s">
        <v>17</v>
      </c>
    </row>
    <row r="17" spans="2:15" ht="14.25" thickBot="1" x14ac:dyDescent="0.3">
      <c r="B17" s="30">
        <v>9</v>
      </c>
      <c r="C17" s="70" t="str">
        <f>+'Base valores'!C19</f>
        <v>Invenergy Solar Development Mexico S de RL de CV</v>
      </c>
      <c r="D17" s="68" t="str">
        <f>+'Base valores'!D19</f>
        <v>Loreto Energy Center</v>
      </c>
      <c r="E17" s="68" t="str">
        <f>+'Base valores'!E19</f>
        <v>Loreto</v>
      </c>
      <c r="F17" s="68" t="str">
        <f>+'Base valores'!F19</f>
        <v>Baja California Sur</v>
      </c>
      <c r="G17" s="69" t="str">
        <f>+'Base valores'!G19</f>
        <v>Fotovoltaica</v>
      </c>
      <c r="H17" s="277">
        <f>+'Base valores'!H19</f>
        <v>30</v>
      </c>
      <c r="I17" s="65" t="str">
        <f>+'Base valores'!I19</f>
        <v>-</v>
      </c>
      <c r="J17" s="66" t="str">
        <f>+'Base valores'!J19</f>
        <v>-</v>
      </c>
      <c r="K17" s="45">
        <f>+'Base valores'!AD19</f>
        <v>0</v>
      </c>
      <c r="L17" s="46">
        <f>+'Base valores'!AE19</f>
        <v>0</v>
      </c>
      <c r="M17" s="47">
        <f>+'Base valores'!AG19</f>
        <v>0</v>
      </c>
      <c r="O17" s="276" t="s">
        <v>17</v>
      </c>
    </row>
    <row r="18" spans="2:15" ht="14.25" thickBot="1" x14ac:dyDescent="0.3">
      <c r="B18" s="30">
        <v>10</v>
      </c>
      <c r="C18" s="70" t="str">
        <f>+'Base valores'!C20</f>
        <v>Soluciones Energeticas Para La Transformacion BCS S A P I de CV</v>
      </c>
      <c r="D18" s="68" t="str">
        <f>+'Base valores'!D20</f>
        <v>Proyecto Solar San Jose Del Cabo</v>
      </c>
      <c r="E18" s="68" t="str">
        <f>+'Base valores'!E20</f>
        <v>Los Cabos</v>
      </c>
      <c r="F18" s="68" t="str">
        <f>+'Base valores'!F20</f>
        <v>Baja California Sur</v>
      </c>
      <c r="G18" s="69" t="str">
        <f>+'Base valores'!G20</f>
        <v>Fotovoltaica</v>
      </c>
      <c r="H18" s="277">
        <f>+'Base valores'!H20</f>
        <v>30</v>
      </c>
      <c r="I18" s="65" t="str">
        <f>+'Base valores'!I20</f>
        <v>-</v>
      </c>
      <c r="J18" s="66" t="str">
        <f>+'Base valores'!J20</f>
        <v>-</v>
      </c>
      <c r="K18" s="45">
        <f>+'Base valores'!AD20</f>
        <v>0</v>
      </c>
      <c r="L18" s="46">
        <f>+'Base valores'!AE20</f>
        <v>0</v>
      </c>
      <c r="M18" s="47">
        <f>+'Base valores'!AG20</f>
        <v>0</v>
      </c>
      <c r="O18" s="276" t="s">
        <v>17</v>
      </c>
    </row>
    <row r="19" spans="2:15" ht="14.25" thickBot="1" x14ac:dyDescent="0.3">
      <c r="B19" s="30">
        <v>11</v>
      </c>
      <c r="C19" s="70" t="str">
        <f>+'Base valores'!C21</f>
        <v>BU ST Services S de RL de CV</v>
      </c>
      <c r="D19" s="68" t="str">
        <f>+'Base valores'!D21</f>
        <v>Santiago Solar</v>
      </c>
      <c r="E19" s="68" t="str">
        <f>+'Base valores'!E21</f>
        <v>Los Cabos</v>
      </c>
      <c r="F19" s="68" t="str">
        <f>+'Base valores'!F21</f>
        <v>Baja California Sur</v>
      </c>
      <c r="G19" s="69" t="str">
        <f>+'Base valores'!G21</f>
        <v>Fotovoltaica</v>
      </c>
      <c r="H19" s="277">
        <f>+'Base valores'!H21</f>
        <v>40</v>
      </c>
      <c r="I19" s="65" t="str">
        <f>+'Base valores'!I21</f>
        <v>-</v>
      </c>
      <c r="J19" s="66" t="str">
        <f>+'Base valores'!J21</f>
        <v>-</v>
      </c>
      <c r="K19" s="45">
        <f>+'Base valores'!AD21</f>
        <v>0</v>
      </c>
      <c r="L19" s="46">
        <f>+'Base valores'!AE21</f>
        <v>0</v>
      </c>
      <c r="M19" s="47">
        <f>+'Base valores'!AG21</f>
        <v>0</v>
      </c>
      <c r="O19" s="276" t="s">
        <v>17</v>
      </c>
    </row>
    <row r="20" spans="2:15" ht="14.25" thickBot="1" x14ac:dyDescent="0.3">
      <c r="B20" s="30">
        <v>12</v>
      </c>
      <c r="C20" s="70" t="str">
        <f>+'Base valores'!C22</f>
        <v>Atlacomulco Solar Fotovoltaica SA de CV</v>
      </c>
      <c r="D20" s="68" t="str">
        <f>+'Base valores'!D22</f>
        <v>Atlacomulco</v>
      </c>
      <c r="E20" s="68" t="str">
        <f>+'Base valores'!E22</f>
        <v>Jocotitlán</v>
      </c>
      <c r="F20" s="68" t="str">
        <f>+'Base valores'!F22</f>
        <v>Estado de México</v>
      </c>
      <c r="G20" s="69" t="str">
        <f>+'Base valores'!G22</f>
        <v>Fotovoltaica</v>
      </c>
      <c r="H20" s="277">
        <f>+'Base valores'!H22</f>
        <v>100</v>
      </c>
      <c r="I20" s="65" t="str">
        <f>+'Base valores'!I22</f>
        <v>-</v>
      </c>
      <c r="J20" s="66" t="str">
        <f>+'Base valores'!J22</f>
        <v>-</v>
      </c>
      <c r="K20" s="45">
        <f>+'Base valores'!AD22</f>
        <v>0</v>
      </c>
      <c r="L20" s="46">
        <f>+'Base valores'!AE22</f>
        <v>0</v>
      </c>
      <c r="M20" s="47">
        <f>+'Base valores'!AG22</f>
        <v>0</v>
      </c>
      <c r="O20" s="276" t="s">
        <v>17</v>
      </c>
    </row>
    <row r="21" spans="2:15" ht="14.25" thickBot="1" x14ac:dyDescent="0.3">
      <c r="B21" s="30">
        <v>13</v>
      </c>
      <c r="C21" s="70" t="str">
        <f>+'Base valores'!C23</f>
        <v>Atlacomulco Solar SA de CV</v>
      </c>
      <c r="D21" s="68" t="str">
        <f>+'Base valores'!D23</f>
        <v>Atlacomulco Solar</v>
      </c>
      <c r="E21" s="68" t="str">
        <f>+'Base valores'!E23</f>
        <v>Almoloya de Juárez</v>
      </c>
      <c r="F21" s="68" t="str">
        <f>+'Base valores'!F23</f>
        <v>Estado de México</v>
      </c>
      <c r="G21" s="69" t="str">
        <f>+'Base valores'!G23</f>
        <v>Fotovoltaica</v>
      </c>
      <c r="H21" s="277">
        <f>+'Base valores'!H23</f>
        <v>90</v>
      </c>
      <c r="I21" s="65" t="str">
        <f>+'Base valores'!I23</f>
        <v>-</v>
      </c>
      <c r="J21" s="66" t="str">
        <f>+'Base valores'!J23</f>
        <v>-</v>
      </c>
      <c r="K21" s="45">
        <f>+'Base valores'!AD23</f>
        <v>0</v>
      </c>
      <c r="L21" s="46">
        <f>+'Base valores'!AE23</f>
        <v>0</v>
      </c>
      <c r="M21" s="47">
        <f>+'Base valores'!AG23</f>
        <v>0</v>
      </c>
      <c r="O21" s="276" t="s">
        <v>17</v>
      </c>
    </row>
    <row r="22" spans="2:15" ht="14.25" thickBot="1" x14ac:dyDescent="0.3">
      <c r="B22" s="30">
        <v>14</v>
      </c>
      <c r="C22" s="70" t="str">
        <f>+'Base valores'!C24</f>
        <v>Ruenergy Projects Mexico SA de CV</v>
      </c>
      <c r="D22" s="68" t="str">
        <f>+'Base valores'!D24</f>
        <v>Central FV Ixtapan</v>
      </c>
      <c r="E22" s="68" t="str">
        <f>+'Base valores'!E24</f>
        <v>Ixtapan de la Sal</v>
      </c>
      <c r="F22" s="68" t="str">
        <f>+'Base valores'!F24</f>
        <v>Estado de México</v>
      </c>
      <c r="G22" s="69" t="str">
        <f>+'Base valores'!G24</f>
        <v>Fotovoltaica</v>
      </c>
      <c r="H22" s="277">
        <f>+'Base valores'!H24</f>
        <v>59.7</v>
      </c>
      <c r="I22" s="65" t="str">
        <f>+'Base valores'!I24</f>
        <v>-</v>
      </c>
      <c r="J22" s="66" t="str">
        <f>+'Base valores'!J24</f>
        <v>-</v>
      </c>
      <c r="K22" s="45">
        <f>+'Base valores'!AD24</f>
        <v>0</v>
      </c>
      <c r="L22" s="46">
        <f>+'Base valores'!AE24</f>
        <v>0</v>
      </c>
      <c r="M22" s="47">
        <f>+'Base valores'!AG24</f>
        <v>0</v>
      </c>
      <c r="O22" s="276" t="s">
        <v>17</v>
      </c>
    </row>
    <row r="23" spans="2:15" ht="14.25" thickBot="1" x14ac:dyDescent="0.3">
      <c r="B23" s="30">
        <v>15</v>
      </c>
      <c r="C23" s="70" t="str">
        <f>+'Base valores'!C25</f>
        <v>Terralia Energia y Campo SA de CV</v>
      </c>
      <c r="D23" s="68" t="str">
        <f>+'Base valores'!D25</f>
        <v>Manzano</v>
      </c>
      <c r="E23" s="68" t="str">
        <f>+'Base valores'!E25</f>
        <v>Contepec</v>
      </c>
      <c r="F23" s="68" t="str">
        <f>+'Base valores'!F25</f>
        <v>Michoacán</v>
      </c>
      <c r="G23" s="69" t="str">
        <f>+'Base valores'!G25</f>
        <v>Fotovoltaica</v>
      </c>
      <c r="H23" s="277">
        <f>+'Base valores'!H25</f>
        <v>46.21</v>
      </c>
      <c r="I23" s="65" t="str">
        <f>+'Base valores'!I25</f>
        <v>-</v>
      </c>
      <c r="J23" s="66" t="str">
        <f>+'Base valores'!J25</f>
        <v>-</v>
      </c>
      <c r="K23" s="45">
        <f>+'Base valores'!AD25</f>
        <v>0</v>
      </c>
      <c r="L23" s="46">
        <f>+'Base valores'!AE25</f>
        <v>0</v>
      </c>
      <c r="M23" s="47">
        <f>+'Base valores'!AG25</f>
        <v>0</v>
      </c>
      <c r="O23" s="276" t="s">
        <v>17</v>
      </c>
    </row>
    <row r="24" spans="2:15" ht="14.25" thickBot="1" x14ac:dyDescent="0.3">
      <c r="B24" s="30">
        <v>16</v>
      </c>
      <c r="C24" s="70" t="str">
        <f>+'Base valores'!C26</f>
        <v>Atria Wind Farm 1 S A P I de CV</v>
      </c>
      <c r="D24" s="68" t="str">
        <f>+'Base valores'!D26</f>
        <v>Atria Wind Farm I</v>
      </c>
      <c r="E24" s="68" t="str">
        <f>+'Base valores'!E26</f>
        <v>General Bravo</v>
      </c>
      <c r="F24" s="68" t="str">
        <f>+'Base valores'!F26</f>
        <v>Nuevo León</v>
      </c>
      <c r="G24" s="69" t="str">
        <f>+'Base valores'!G26</f>
        <v>Eólica</v>
      </c>
      <c r="H24" s="277">
        <f>+'Base valores'!H26</f>
        <v>140</v>
      </c>
      <c r="I24" s="65" t="str">
        <f>+'Base valores'!I26</f>
        <v>-</v>
      </c>
      <c r="J24" s="66" t="str">
        <f>+'Base valores'!J26</f>
        <v>-</v>
      </c>
      <c r="K24" s="45">
        <f>+'Base valores'!AD26</f>
        <v>0</v>
      </c>
      <c r="L24" s="46">
        <f>+'Base valores'!AE26</f>
        <v>0</v>
      </c>
      <c r="M24" s="47">
        <f>+'Base valores'!AG26</f>
        <v>0</v>
      </c>
      <c r="O24" s="276" t="s">
        <v>17</v>
      </c>
    </row>
    <row r="25" spans="2:15" ht="14.25" thickBot="1" x14ac:dyDescent="0.3">
      <c r="B25" s="30">
        <v>17</v>
      </c>
      <c r="C25" s="70" t="str">
        <f>+'Base valores'!C27</f>
        <v>Atria Wind Farm II S A P I de CV</v>
      </c>
      <c r="D25" s="68" t="str">
        <f>+'Base valores'!D27</f>
        <v>Atria Wind Farm II</v>
      </c>
      <c r="E25" s="68" t="str">
        <f>+'Base valores'!E27</f>
        <v>General Bravo</v>
      </c>
      <c r="F25" s="68" t="str">
        <f>+'Base valores'!F27</f>
        <v>Nuevo León</v>
      </c>
      <c r="G25" s="69" t="str">
        <f>+'Base valores'!G27</f>
        <v>Eólica</v>
      </c>
      <c r="H25" s="277">
        <f>+'Base valores'!H27</f>
        <v>259</v>
      </c>
      <c r="I25" s="65" t="str">
        <f>+'Base valores'!I27</f>
        <v>-</v>
      </c>
      <c r="J25" s="66" t="str">
        <f>+'Base valores'!J27</f>
        <v>-</v>
      </c>
      <c r="K25" s="45">
        <f>+'Base valores'!AD27</f>
        <v>0</v>
      </c>
      <c r="L25" s="46">
        <f>+'Base valores'!AE27</f>
        <v>0</v>
      </c>
      <c r="M25" s="47">
        <f>+'Base valores'!AG27</f>
        <v>0</v>
      </c>
      <c r="O25" s="276" t="s">
        <v>17</v>
      </c>
    </row>
    <row r="26" spans="2:15" ht="14.25" thickBot="1" x14ac:dyDescent="0.3">
      <c r="B26" s="30">
        <v>18</v>
      </c>
      <c r="C26" s="70" t="str">
        <f>+'Base valores'!C28</f>
        <v>Viva El Sol F1 S A P I de CV</v>
      </c>
      <c r="D26" s="68" t="str">
        <f>+'Base valores'!D28</f>
        <v>Aurora I</v>
      </c>
      <c r="E26" s="68" t="str">
        <f>+'Base valores'!E28</f>
        <v>Nadadores</v>
      </c>
      <c r="F26" s="68" t="str">
        <f>+'Base valores'!F28</f>
        <v>Coahuila</v>
      </c>
      <c r="G26" s="69" t="str">
        <f>+'Base valores'!G28</f>
        <v>Fotovoltaica</v>
      </c>
      <c r="H26" s="277">
        <f>+'Base valores'!H28</f>
        <v>10</v>
      </c>
      <c r="I26" s="65" t="str">
        <f>+'Base valores'!I28</f>
        <v>-</v>
      </c>
      <c r="J26" s="66" t="str">
        <f>+'Base valores'!J28</f>
        <v>-</v>
      </c>
      <c r="K26" s="45">
        <f>+'Base valores'!AD28</f>
        <v>0</v>
      </c>
      <c r="L26" s="46">
        <f>+'Base valores'!AE28</f>
        <v>0</v>
      </c>
      <c r="M26" s="47">
        <f>+'Base valores'!AG28</f>
        <v>0</v>
      </c>
      <c r="O26" s="276" t="s">
        <v>17</v>
      </c>
    </row>
    <row r="27" spans="2:15" ht="14.25" thickBot="1" x14ac:dyDescent="0.3">
      <c r="B27" s="30">
        <v>19</v>
      </c>
      <c r="C27" s="70" t="str">
        <f>+'Base valores'!C29</f>
        <v>Armeria New Energy SA de CV</v>
      </c>
      <c r="D27" s="68" t="str">
        <f>+'Base valores'!D29</f>
        <v>Barajas Solar</v>
      </c>
      <c r="E27" s="68" t="str">
        <f>+'Base valores'!E29</f>
        <v>Frontera</v>
      </c>
      <c r="F27" s="68" t="str">
        <f>+'Base valores'!F29</f>
        <v>Coahuila</v>
      </c>
      <c r="G27" s="69" t="str">
        <f>+'Base valores'!G29</f>
        <v>Fotovoltaica</v>
      </c>
      <c r="H27" s="277">
        <f>+'Base valores'!H29</f>
        <v>110.4</v>
      </c>
      <c r="I27" s="65" t="str">
        <f>+'Base valores'!I29</f>
        <v>-</v>
      </c>
      <c r="J27" s="66" t="str">
        <f>+'Base valores'!J29</f>
        <v>-</v>
      </c>
      <c r="K27" s="45">
        <f>+'Base valores'!AD29</f>
        <v>0</v>
      </c>
      <c r="L27" s="46">
        <f>+'Base valores'!AE29</f>
        <v>0</v>
      </c>
      <c r="M27" s="47">
        <f>+'Base valores'!AG29</f>
        <v>0</v>
      </c>
      <c r="O27" s="276" t="s">
        <v>17</v>
      </c>
    </row>
    <row r="28" spans="2:15" ht="14.25" thickBot="1" x14ac:dyDescent="0.3">
      <c r="B28" s="30">
        <v>20</v>
      </c>
      <c r="C28" s="70" t="str">
        <f>+'Base valores'!C30</f>
        <v>Prosienergy Corporacion SA de CV</v>
      </c>
      <c r="D28" s="68" t="str">
        <f>+'Base valores'!D30</f>
        <v>Central Fotovoltaica Horcones</v>
      </c>
      <c r="E28" s="68" t="str">
        <f>+'Base valores'!E30</f>
        <v>Los Ramones</v>
      </c>
      <c r="F28" s="68" t="str">
        <f>+'Base valores'!F30</f>
        <v>Nuevo León</v>
      </c>
      <c r="G28" s="69" t="str">
        <f>+'Base valores'!G30</f>
        <v>Fotovoltaica</v>
      </c>
      <c r="H28" s="277">
        <f>+'Base valores'!H30</f>
        <v>99.9</v>
      </c>
      <c r="I28" s="65" t="str">
        <f>+'Base valores'!I30</f>
        <v>-</v>
      </c>
      <c r="J28" s="66" t="str">
        <f>+'Base valores'!J30</f>
        <v>-</v>
      </c>
      <c r="K28" s="45">
        <f>+'Base valores'!AD30</f>
        <v>0</v>
      </c>
      <c r="L28" s="46">
        <f>+'Base valores'!AE30</f>
        <v>0</v>
      </c>
      <c r="M28" s="47">
        <f>+'Base valores'!AG30</f>
        <v>0</v>
      </c>
      <c r="O28" s="276" t="s">
        <v>17</v>
      </c>
    </row>
    <row r="29" spans="2:15" ht="14.25" thickBot="1" x14ac:dyDescent="0.3">
      <c r="B29" s="30">
        <v>21</v>
      </c>
      <c r="C29" s="70" t="str">
        <f>+'Base valores'!C31</f>
        <v>Freeman Mezcal SA de CV</v>
      </c>
      <c r="D29" s="68" t="str">
        <f>+'Base valores'!D31</f>
        <v>CFV Las Aguilas</v>
      </c>
      <c r="E29" s="68" t="str">
        <f>+'Base valores'!E31</f>
        <v>Saltillo</v>
      </c>
      <c r="F29" s="68" t="str">
        <f>+'Base valores'!F31</f>
        <v>Coahuila</v>
      </c>
      <c r="G29" s="69" t="str">
        <f>+'Base valores'!G31</f>
        <v>Fotovoltaica</v>
      </c>
      <c r="H29" s="277">
        <f>+'Base valores'!H31</f>
        <v>600</v>
      </c>
      <c r="I29" s="65" t="str">
        <f>+'Base valores'!I31</f>
        <v>-</v>
      </c>
      <c r="J29" s="66" t="str">
        <f>+'Base valores'!J31</f>
        <v>-</v>
      </c>
      <c r="K29" s="45">
        <f>+'Base valores'!AD31</f>
        <v>0</v>
      </c>
      <c r="L29" s="46">
        <f>+'Base valores'!AE31</f>
        <v>0</v>
      </c>
      <c r="M29" s="47">
        <f>+'Base valores'!AG31</f>
        <v>0</v>
      </c>
      <c r="O29" s="276" t="s">
        <v>17</v>
      </c>
    </row>
    <row r="30" spans="2:15" ht="14.25" thickBot="1" x14ac:dyDescent="0.3">
      <c r="B30" s="30">
        <v>22</v>
      </c>
      <c r="C30" s="70" t="str">
        <f>+'Base valores'!C32</f>
        <v>Delaro S A P I de CV</v>
      </c>
      <c r="D30" s="68" t="str">
        <f>+'Base valores'!D32</f>
        <v>Delaro</v>
      </c>
      <c r="E30" s="68" t="str">
        <f>+'Base valores'!E32</f>
        <v>Reynosa</v>
      </c>
      <c r="F30" s="68" t="str">
        <f>+'Base valores'!F32</f>
        <v>Tamaulipas</v>
      </c>
      <c r="G30" s="69" t="str">
        <f>+'Base valores'!G32</f>
        <v>Eólica</v>
      </c>
      <c r="H30" s="277">
        <f>+'Base valores'!H32</f>
        <v>117</v>
      </c>
      <c r="I30" s="65" t="str">
        <f>+'Base valores'!I32</f>
        <v>-</v>
      </c>
      <c r="J30" s="66" t="str">
        <f>+'Base valores'!J32</f>
        <v>-</v>
      </c>
      <c r="K30" s="45">
        <f>+'Base valores'!AD32</f>
        <v>0</v>
      </c>
      <c r="L30" s="46">
        <f>+'Base valores'!AE32</f>
        <v>0</v>
      </c>
      <c r="M30" s="47">
        <f>+'Base valores'!AG32</f>
        <v>0</v>
      </c>
      <c r="O30" s="276" t="s">
        <v>17</v>
      </c>
    </row>
    <row r="31" spans="2:15" ht="14.25" thickBot="1" x14ac:dyDescent="0.3">
      <c r="B31" s="30">
        <v>23</v>
      </c>
      <c r="C31" s="70" t="str">
        <f>+'Base valores'!C33</f>
        <v>Tusae Energy I SA de CV</v>
      </c>
      <c r="D31" s="68" t="str">
        <f>+'Base valores'!D33</f>
        <v>El Gorrion</v>
      </c>
      <c r="E31" s="68" t="str">
        <f>+'Base valores'!E33</f>
        <v>Saltillo</v>
      </c>
      <c r="F31" s="68" t="str">
        <f>+'Base valores'!F33</f>
        <v>Coahuila</v>
      </c>
      <c r="G31" s="69" t="str">
        <f>+'Base valores'!G33</f>
        <v>Fotovoltaica</v>
      </c>
      <c r="H31" s="277">
        <f>+'Base valores'!H33</f>
        <v>100</v>
      </c>
      <c r="I31" s="65" t="str">
        <f>+'Base valores'!I33</f>
        <v>-</v>
      </c>
      <c r="J31" s="66" t="str">
        <f>+'Base valores'!J33</f>
        <v>-</v>
      </c>
      <c r="K31" s="45">
        <f>+'Base valores'!AD33</f>
        <v>0</v>
      </c>
      <c r="L31" s="46">
        <f>+'Base valores'!AE33</f>
        <v>0</v>
      </c>
      <c r="M31" s="47">
        <f>+'Base valores'!AG33</f>
        <v>0</v>
      </c>
      <c r="O31" s="276" t="s">
        <v>17</v>
      </c>
    </row>
    <row r="32" spans="2:15" ht="14.25" thickBot="1" x14ac:dyDescent="0.3">
      <c r="B32" s="30">
        <v>24</v>
      </c>
      <c r="C32" s="70" t="str">
        <f>+'Base valores'!C34</f>
        <v>Parque Eolico de Euronotus S de RL de CV</v>
      </c>
      <c r="D32" s="68" t="str">
        <f>+'Base valores'!D34</f>
        <v>Parque Eólico Euronotus</v>
      </c>
      <c r="E32" s="68" t="str">
        <f>+'Base valores'!E34</f>
        <v>China</v>
      </c>
      <c r="F32" s="68" t="str">
        <f>+'Base valores'!F34</f>
        <v>Nuevo León</v>
      </c>
      <c r="G32" s="69" t="str">
        <f>+'Base valores'!G34</f>
        <v>Eólica</v>
      </c>
      <c r="H32" s="277">
        <f>+'Base valores'!H34</f>
        <v>400</v>
      </c>
      <c r="I32" s="65" t="str">
        <f>+'Base valores'!I34</f>
        <v>-</v>
      </c>
      <c r="J32" s="66" t="str">
        <f>+'Base valores'!J34</f>
        <v>-</v>
      </c>
      <c r="K32" s="45">
        <f>+'Base valores'!AD34</f>
        <v>0</v>
      </c>
      <c r="L32" s="46">
        <f>+'Base valores'!AE34</f>
        <v>0</v>
      </c>
      <c r="M32" s="47">
        <f>+'Base valores'!AG34</f>
        <v>0</v>
      </c>
      <c r="O32" s="276" t="s">
        <v>17</v>
      </c>
    </row>
    <row r="33" spans="2:15" ht="14.25" thickBot="1" x14ac:dyDescent="0.3">
      <c r="B33" s="30">
        <v>25</v>
      </c>
      <c r="C33" s="70" t="str">
        <f>+'Base valores'!C35</f>
        <v>Jesus Gilberto Martinez Croda</v>
      </c>
      <c r="D33" s="68" t="str">
        <f>+'Base valores'!D35</f>
        <v>Proyecto Eolico Sierra Madre</v>
      </c>
      <c r="E33" s="68" t="str">
        <f>+'Base valores'!E35</f>
        <v>Casas</v>
      </c>
      <c r="F33" s="68" t="str">
        <f>+'Base valores'!F35</f>
        <v>Tamaulipas</v>
      </c>
      <c r="G33" s="69" t="str">
        <f>+'Base valores'!G35</f>
        <v>Eólica</v>
      </c>
      <c r="H33" s="277">
        <f>+'Base valores'!H35</f>
        <v>580</v>
      </c>
      <c r="I33" s="65" t="str">
        <f>+'Base valores'!I35</f>
        <v>-</v>
      </c>
      <c r="J33" s="66" t="str">
        <f>+'Base valores'!J35</f>
        <v>-</v>
      </c>
      <c r="K33" s="45">
        <f>+'Base valores'!AD35</f>
        <v>0</v>
      </c>
      <c r="L33" s="46">
        <f>+'Base valores'!AE35</f>
        <v>0</v>
      </c>
      <c r="M33" s="47">
        <f>+'Base valores'!AG35</f>
        <v>0</v>
      </c>
      <c r="O33" s="276" t="s">
        <v>17</v>
      </c>
    </row>
    <row r="34" spans="2:15" ht="14.25" thickBot="1" x14ac:dyDescent="0.3">
      <c r="B34" s="30">
        <v>26</v>
      </c>
      <c r="C34" s="70" t="str">
        <f>+'Base valores'!C36</f>
        <v>PV Tamesi Solar SG S de RL de CV</v>
      </c>
      <c r="D34" s="68" t="str">
        <f>+'Base valores'!D36</f>
        <v>PV Tamesí Solar</v>
      </c>
      <c r="E34" s="68" t="str">
        <f>+'Base valores'!E36</f>
        <v>Altamira</v>
      </c>
      <c r="F34" s="68" t="str">
        <f>+'Base valores'!F36</f>
        <v>Tamaulipas</v>
      </c>
      <c r="G34" s="69" t="str">
        <f>+'Base valores'!G36</f>
        <v>Fotovoltaica</v>
      </c>
      <c r="H34" s="277">
        <f>+'Base valores'!H36</f>
        <v>110</v>
      </c>
      <c r="I34" s="65" t="str">
        <f>+'Base valores'!I36</f>
        <v>-</v>
      </c>
      <c r="J34" s="66" t="str">
        <f>+'Base valores'!J36</f>
        <v>-</v>
      </c>
      <c r="K34" s="45">
        <f>+'Base valores'!AD36</f>
        <v>0</v>
      </c>
      <c r="L34" s="46">
        <f>+'Base valores'!AE36</f>
        <v>0</v>
      </c>
      <c r="M34" s="47">
        <f>+'Base valores'!AG36</f>
        <v>0</v>
      </c>
      <c r="O34" s="276" t="s">
        <v>17</v>
      </c>
    </row>
    <row r="35" spans="2:15" ht="14.25" thickBot="1" x14ac:dyDescent="0.3">
      <c r="B35" s="30">
        <v>27</v>
      </c>
      <c r="C35" s="70" t="str">
        <f>+'Base valores'!C37</f>
        <v>Greendat Capital S A P I de CV</v>
      </c>
      <c r="D35" s="68" t="str">
        <f>+'Base valores'!D37</f>
        <v>Santos</v>
      </c>
      <c r="E35" s="68" t="str">
        <f>+'Base valores'!E37</f>
        <v>Anáhuac</v>
      </c>
      <c r="F35" s="68" t="str">
        <f>+'Base valores'!F37</f>
        <v>Nuevo León</v>
      </c>
      <c r="G35" s="69" t="str">
        <f>+'Base valores'!G37</f>
        <v>Fotovoltaica</v>
      </c>
      <c r="H35" s="277">
        <f>+'Base valores'!H37</f>
        <v>100</v>
      </c>
      <c r="I35" s="65" t="str">
        <f>+'Base valores'!I37</f>
        <v>-</v>
      </c>
      <c r="J35" s="66" t="str">
        <f>+'Base valores'!J37</f>
        <v>-</v>
      </c>
      <c r="K35" s="45">
        <f>+'Base valores'!AD37</f>
        <v>0</v>
      </c>
      <c r="L35" s="46">
        <f>+'Base valores'!AE37</f>
        <v>0</v>
      </c>
      <c r="M35" s="47">
        <f>+'Base valores'!AG37</f>
        <v>0</v>
      </c>
      <c r="O35" s="276" t="s">
        <v>17</v>
      </c>
    </row>
    <row r="36" spans="2:15" ht="14.25" thickBot="1" x14ac:dyDescent="0.3">
      <c r="B36" s="30">
        <v>28</v>
      </c>
      <c r="C36" s="70" t="str">
        <f>+'Base valores'!C38</f>
        <v>Proyener S de RL de CV</v>
      </c>
      <c r="D36" s="68" t="str">
        <f>+'Base valores'!D38</f>
        <v>Acatlan Generacion</v>
      </c>
      <c r="E36" s="68" t="str">
        <f>+'Base valores'!E38</f>
        <v>Acatlán de Juárez</v>
      </c>
      <c r="F36" s="68" t="str">
        <f>+'Base valores'!F38</f>
        <v>Jalisco</v>
      </c>
      <c r="G36" s="69" t="str">
        <f>+'Base valores'!G38</f>
        <v>Fotovoltaica</v>
      </c>
      <c r="H36" s="277">
        <f>+'Base valores'!H38</f>
        <v>118</v>
      </c>
      <c r="I36" s="65" t="str">
        <f>+'Base valores'!I38</f>
        <v>-</v>
      </c>
      <c r="J36" s="66" t="str">
        <f>+'Base valores'!J38</f>
        <v>-</v>
      </c>
      <c r="K36" s="45">
        <f>+'Base valores'!AD38</f>
        <v>0</v>
      </c>
      <c r="L36" s="46">
        <f>+'Base valores'!AE38</f>
        <v>0</v>
      </c>
      <c r="M36" s="47">
        <f>+'Base valores'!AG38</f>
        <v>0</v>
      </c>
      <c r="O36" s="276" t="s">
        <v>17</v>
      </c>
    </row>
    <row r="37" spans="2:15" ht="14.25" thickBot="1" x14ac:dyDescent="0.3">
      <c r="B37" s="30">
        <v>29</v>
      </c>
      <c r="C37" s="70" t="str">
        <f>+'Base valores'!C39</f>
        <v>Aquiles Capital Group S A P I de CV</v>
      </c>
      <c r="D37" s="68" t="str">
        <f>+'Base valores'!D39</f>
        <v>Central Fotovoltaica Mesa Redonda</v>
      </c>
      <c r="E37" s="68" t="str">
        <f>+'Base valores'!E39</f>
        <v>Villa Corona</v>
      </c>
      <c r="F37" s="68" t="str">
        <f>+'Base valores'!F39</f>
        <v>Jalisco</v>
      </c>
      <c r="G37" s="69" t="str">
        <f>+'Base valores'!G39</f>
        <v>Fotovoltaica</v>
      </c>
      <c r="H37" s="277">
        <f>+'Base valores'!H39</f>
        <v>395.4</v>
      </c>
      <c r="I37" s="65" t="str">
        <f>+'Base valores'!I39</f>
        <v>-</v>
      </c>
      <c r="J37" s="66" t="str">
        <f>+'Base valores'!J39</f>
        <v>-</v>
      </c>
      <c r="K37" s="45">
        <f>+'Base valores'!AD39</f>
        <v>0</v>
      </c>
      <c r="L37" s="46">
        <f>+'Base valores'!AE39</f>
        <v>0</v>
      </c>
      <c r="M37" s="47">
        <f>+'Base valores'!AG39</f>
        <v>0</v>
      </c>
      <c r="O37" s="276" t="s">
        <v>17</v>
      </c>
    </row>
    <row r="38" spans="2:15" ht="14.25" thickBot="1" x14ac:dyDescent="0.3">
      <c r="B38" s="30">
        <v>30</v>
      </c>
      <c r="C38" s="70" t="str">
        <f>+'Base valores'!C40</f>
        <v>Green Park Energy SA de CV</v>
      </c>
      <c r="D38" s="68" t="str">
        <f>+'Base valores'!D40</f>
        <v>FV El Toro</v>
      </c>
      <c r="E38" s="68" t="str">
        <f>+'Base valores'!E40</f>
        <v>Manuel Doblado</v>
      </c>
      <c r="F38" s="68" t="str">
        <f>+'Base valores'!F40</f>
        <v>Guanajuato</v>
      </c>
      <c r="G38" s="69" t="str">
        <f>+'Base valores'!G40</f>
        <v>Fotovoltaica</v>
      </c>
      <c r="H38" s="277">
        <f>+'Base valores'!H40</f>
        <v>90</v>
      </c>
      <c r="I38" s="65" t="str">
        <f>+'Base valores'!I40</f>
        <v>-</v>
      </c>
      <c r="J38" s="66" t="str">
        <f>+'Base valores'!J40</f>
        <v>-</v>
      </c>
      <c r="K38" s="45">
        <f>+'Base valores'!AD40</f>
        <v>0</v>
      </c>
      <c r="L38" s="46">
        <f>+'Base valores'!AE40</f>
        <v>0</v>
      </c>
      <c r="M38" s="47">
        <f>+'Base valores'!AG40</f>
        <v>0</v>
      </c>
      <c r="O38" s="276" t="s">
        <v>17</v>
      </c>
    </row>
    <row r="39" spans="2:15" ht="14.25" thickBot="1" x14ac:dyDescent="0.3">
      <c r="B39" s="30">
        <v>31</v>
      </c>
      <c r="C39" s="70" t="str">
        <f>+'Base valores'!C41</f>
        <v>Bluemex San Miguel SA de CV</v>
      </c>
      <c r="D39" s="68" t="str">
        <f>+'Base valores'!D41</f>
        <v>FV Santa Fe</v>
      </c>
      <c r="E39" s="68" t="str">
        <f>+'Base valores'!E41</f>
        <v>San Miguel de Allende</v>
      </c>
      <c r="F39" s="68" t="str">
        <f>+'Base valores'!F41</f>
        <v>Guanajuato</v>
      </c>
      <c r="G39" s="69" t="str">
        <f>+'Base valores'!G41</f>
        <v>Fotovoltaica</v>
      </c>
      <c r="H39" s="277">
        <f>+'Base valores'!H41</f>
        <v>100</v>
      </c>
      <c r="I39" s="65" t="str">
        <f>+'Base valores'!I41</f>
        <v>-</v>
      </c>
      <c r="J39" s="66" t="str">
        <f>+'Base valores'!J41</f>
        <v>-</v>
      </c>
      <c r="K39" s="45">
        <f>+'Base valores'!AD41</f>
        <v>0</v>
      </c>
      <c r="L39" s="46">
        <f>+'Base valores'!AE41</f>
        <v>0</v>
      </c>
      <c r="M39" s="47">
        <f>+'Base valores'!AG41</f>
        <v>0</v>
      </c>
      <c r="O39" s="276" t="s">
        <v>17</v>
      </c>
    </row>
    <row r="40" spans="2:15" ht="14.25" thickBot="1" x14ac:dyDescent="0.3">
      <c r="B40" s="30">
        <v>32</v>
      </c>
      <c r="C40" s="70" t="str">
        <f>+'Base valores'!C42</f>
        <v>Green Park Energy SA de CV</v>
      </c>
      <c r="D40" s="68" t="str">
        <f>+'Base valores'!D42</f>
        <v>FV Villa Juarez</v>
      </c>
      <c r="E40" s="68" t="str">
        <f>+'Base valores'!E42</f>
        <v>El Llano</v>
      </c>
      <c r="F40" s="68" t="str">
        <f>+'Base valores'!F42</f>
        <v>Aguascalientes</v>
      </c>
      <c r="G40" s="69" t="str">
        <f>+'Base valores'!G42</f>
        <v>Fotovoltaica</v>
      </c>
      <c r="H40" s="277">
        <f>+'Base valores'!H42</f>
        <v>120</v>
      </c>
      <c r="I40" s="65" t="str">
        <f>+'Base valores'!I42</f>
        <v>-</v>
      </c>
      <c r="J40" s="66" t="str">
        <f>+'Base valores'!J42</f>
        <v>-</v>
      </c>
      <c r="K40" s="45">
        <f>+'Base valores'!AD42</f>
        <v>0</v>
      </c>
      <c r="L40" s="46">
        <f>+'Base valores'!AE42</f>
        <v>0</v>
      </c>
      <c r="M40" s="47">
        <f>+'Base valores'!AG42</f>
        <v>0</v>
      </c>
      <c r="O40" s="276" t="s">
        <v>17</v>
      </c>
    </row>
    <row r="41" spans="2:15" ht="14.25" thickBot="1" x14ac:dyDescent="0.3">
      <c r="B41" s="30">
        <v>33</v>
      </c>
      <c r="C41" s="70" t="str">
        <f>+'Base valores'!C43</f>
        <v>Majoma Solar II S A P I de CV</v>
      </c>
      <c r="D41" s="68" t="str">
        <f>+'Base valores'!D43</f>
        <v>Majoma Solar</v>
      </c>
      <c r="E41" s="68" t="str">
        <f>+'Base valores'!E43</f>
        <v>Mazapil</v>
      </c>
      <c r="F41" s="68" t="str">
        <f>+'Base valores'!F43</f>
        <v>Zacatecas</v>
      </c>
      <c r="G41" s="69" t="str">
        <f>+'Base valores'!G43</f>
        <v>Fotovoltaica</v>
      </c>
      <c r="H41" s="277">
        <f>+'Base valores'!H43</f>
        <v>330</v>
      </c>
      <c r="I41" s="65" t="str">
        <f>+'Base valores'!I43</f>
        <v>-</v>
      </c>
      <c r="J41" s="66" t="str">
        <f>+'Base valores'!J43</f>
        <v>-</v>
      </c>
      <c r="K41" s="45">
        <f>+'Base valores'!AD43</f>
        <v>0</v>
      </c>
      <c r="L41" s="46">
        <f>+'Base valores'!AE43</f>
        <v>0</v>
      </c>
      <c r="M41" s="47">
        <f>+'Base valores'!AG43</f>
        <v>0</v>
      </c>
      <c r="O41" s="276" t="s">
        <v>17</v>
      </c>
    </row>
    <row r="42" spans="2:15" ht="14.25" thickBot="1" x14ac:dyDescent="0.3">
      <c r="B42" s="30">
        <v>34</v>
      </c>
      <c r="C42" s="70" t="str">
        <f>+'Base valores'!C44</f>
        <v>Arturo Energia S de RL de CV</v>
      </c>
      <c r="D42" s="68" t="str">
        <f>+'Base valores'!D44</f>
        <v>Parque Solar Cuquío</v>
      </c>
      <c r="E42" s="68" t="str">
        <f>+'Base valores'!E44</f>
        <v>Cuquío</v>
      </c>
      <c r="F42" s="68" t="str">
        <f>+'Base valores'!F44</f>
        <v>Jalisco</v>
      </c>
      <c r="G42" s="69" t="str">
        <f>+'Base valores'!G44</f>
        <v>Fotovoltaica</v>
      </c>
      <c r="H42" s="277">
        <f>+'Base valores'!H44</f>
        <v>80</v>
      </c>
      <c r="I42" s="65" t="str">
        <f>+'Base valores'!I44</f>
        <v>-</v>
      </c>
      <c r="J42" s="66" t="str">
        <f>+'Base valores'!J44</f>
        <v>-</v>
      </c>
      <c r="K42" s="45">
        <f>+'Base valores'!AD44</f>
        <v>0</v>
      </c>
      <c r="L42" s="46">
        <f>+'Base valores'!AE44</f>
        <v>0</v>
      </c>
      <c r="M42" s="47">
        <f>+'Base valores'!AG44</f>
        <v>0</v>
      </c>
      <c r="O42" s="276" t="s">
        <v>17</v>
      </c>
    </row>
    <row r="43" spans="2:15" ht="14.25" thickBot="1" x14ac:dyDescent="0.3">
      <c r="B43" s="30">
        <v>35</v>
      </c>
      <c r="C43" s="70" t="str">
        <f>+'Base valores'!C45</f>
        <v>Hola Energia S de RL de CV</v>
      </c>
      <c r="D43" s="68" t="str">
        <f>+'Base valores'!D45</f>
        <v>Parque Solar La Barca</v>
      </c>
      <c r="E43" s="68" t="str">
        <f>+'Base valores'!E45</f>
        <v>La Barca</v>
      </c>
      <c r="F43" s="68" t="str">
        <f>+'Base valores'!F45</f>
        <v>Jalisco</v>
      </c>
      <c r="G43" s="69" t="str">
        <f>+'Base valores'!G45</f>
        <v>Fotovoltaica</v>
      </c>
      <c r="H43" s="277">
        <f>+'Base valores'!H45</f>
        <v>100</v>
      </c>
      <c r="I43" s="65" t="str">
        <f>+'Base valores'!I45</f>
        <v>-</v>
      </c>
      <c r="J43" s="66" t="str">
        <f>+'Base valores'!J45</f>
        <v>-</v>
      </c>
      <c r="K43" s="45">
        <f>+'Base valores'!AD45</f>
        <v>0</v>
      </c>
      <c r="L43" s="46">
        <f>+'Base valores'!AE45</f>
        <v>0</v>
      </c>
      <c r="M43" s="47">
        <f>+'Base valores'!AG45</f>
        <v>0</v>
      </c>
      <c r="O43" s="276" t="s">
        <v>17</v>
      </c>
    </row>
    <row r="44" spans="2:15" ht="14.25" thickBot="1" x14ac:dyDescent="0.3">
      <c r="B44" s="30">
        <v>36</v>
      </c>
      <c r="C44" s="70" t="str">
        <f>+'Base valores'!C46</f>
        <v>Transformaes Creacion Sostenible S de RL de CV</v>
      </c>
      <c r="D44" s="68" t="str">
        <f>+'Base valores'!D46</f>
        <v>Parque Solar La Encantada</v>
      </c>
      <c r="E44" s="68" t="str">
        <f>+'Base valores'!E46</f>
        <v>Fresnillo</v>
      </c>
      <c r="F44" s="68" t="str">
        <f>+'Base valores'!F46</f>
        <v>Zacatecas</v>
      </c>
      <c r="G44" s="69" t="str">
        <f>+'Base valores'!G46</f>
        <v>Fotovoltaica</v>
      </c>
      <c r="H44" s="277">
        <f>+'Base valores'!H46</f>
        <v>75</v>
      </c>
      <c r="I44" s="65" t="str">
        <f>+'Base valores'!I46</f>
        <v>-</v>
      </c>
      <c r="J44" s="66" t="str">
        <f>+'Base valores'!J46</f>
        <v>-</v>
      </c>
      <c r="K44" s="45">
        <f>+'Base valores'!AD46</f>
        <v>0</v>
      </c>
      <c r="L44" s="46">
        <f>+'Base valores'!AE46</f>
        <v>0</v>
      </c>
      <c r="M44" s="47">
        <f>+'Base valores'!AG46</f>
        <v>0</v>
      </c>
      <c r="O44" s="276" t="s">
        <v>17</v>
      </c>
    </row>
    <row r="45" spans="2:15" ht="14.25" thickBot="1" x14ac:dyDescent="0.3">
      <c r="B45" s="30">
        <v>37</v>
      </c>
      <c r="C45" s="70" t="str">
        <f>+'Base valores'!C47</f>
        <v>Alma Energia S de RL de CV</v>
      </c>
      <c r="D45" s="68" t="str">
        <f>+'Base valores'!D47</f>
        <v>Parque Solar La Navidad</v>
      </c>
      <c r="E45" s="68" t="str">
        <f>+'Base valores'!E47</f>
        <v>Abasolo</v>
      </c>
      <c r="F45" s="68" t="str">
        <f>+'Base valores'!F47</f>
        <v>Guanajuato</v>
      </c>
      <c r="G45" s="69" t="str">
        <f>+'Base valores'!G47</f>
        <v>Fotovoltaica</v>
      </c>
      <c r="H45" s="277">
        <f>+'Base valores'!H47</f>
        <v>100</v>
      </c>
      <c r="I45" s="65" t="str">
        <f>+'Base valores'!I47</f>
        <v>-</v>
      </c>
      <c r="J45" s="66" t="str">
        <f>+'Base valores'!J47</f>
        <v>-</v>
      </c>
      <c r="K45" s="45">
        <f>+'Base valores'!AD47</f>
        <v>0</v>
      </c>
      <c r="L45" s="46">
        <f>+'Base valores'!AE47</f>
        <v>0</v>
      </c>
      <c r="M45" s="47">
        <f>+'Base valores'!AG47</f>
        <v>0</v>
      </c>
      <c r="O45" s="276" t="s">
        <v>17</v>
      </c>
    </row>
    <row r="46" spans="2:15" ht="14.25" thickBot="1" x14ac:dyDescent="0.3">
      <c r="B46" s="30">
        <v>38</v>
      </c>
      <c r="C46" s="70" t="str">
        <f>+'Base valores'!C48</f>
        <v>Ambra Energia S de RL de CV</v>
      </c>
      <c r="D46" s="68" t="str">
        <f>+'Base valores'!D48</f>
        <v>Parque Solar Lagos El Potrero</v>
      </c>
      <c r="E46" s="68" t="str">
        <f>+'Base valores'!E48</f>
        <v>Lagos de Moreno</v>
      </c>
      <c r="F46" s="68" t="str">
        <f>+'Base valores'!F48</f>
        <v>Jalisco</v>
      </c>
      <c r="G46" s="69" t="str">
        <f>+'Base valores'!G48</f>
        <v>Fotovoltaica</v>
      </c>
      <c r="H46" s="277">
        <f>+'Base valores'!H48</f>
        <v>150</v>
      </c>
      <c r="I46" s="65" t="str">
        <f>+'Base valores'!I48</f>
        <v>-</v>
      </c>
      <c r="J46" s="66" t="str">
        <f>+'Base valores'!J48</f>
        <v>-</v>
      </c>
      <c r="K46" s="45">
        <f>+'Base valores'!AD48</f>
        <v>0</v>
      </c>
      <c r="L46" s="46">
        <f>+'Base valores'!AE48</f>
        <v>0</v>
      </c>
      <c r="M46" s="47">
        <f>+'Base valores'!AG48</f>
        <v>0</v>
      </c>
      <c r="O46" s="276" t="s">
        <v>17</v>
      </c>
    </row>
    <row r="47" spans="2:15" ht="14.25" thickBot="1" x14ac:dyDescent="0.3">
      <c r="B47" s="30">
        <v>39</v>
      </c>
      <c r="C47" s="70" t="str">
        <f>+'Base valores'!C49</f>
        <v>Jesus Gilberto Martinez Croda</v>
      </c>
      <c r="D47" s="68" t="str">
        <f>+'Base valores'!D49</f>
        <v>Parque Solar San Cayetano</v>
      </c>
      <c r="E47" s="68" t="str">
        <f>+'Base valores'!E49</f>
        <v>Lagos de Moreno</v>
      </c>
      <c r="F47" s="68" t="str">
        <f>+'Base valores'!F49</f>
        <v>Jalisco</v>
      </c>
      <c r="G47" s="69" t="str">
        <f>+'Base valores'!G49</f>
        <v>Fotovoltaica</v>
      </c>
      <c r="H47" s="277">
        <f>+'Base valores'!H49</f>
        <v>90</v>
      </c>
      <c r="I47" s="65" t="str">
        <f>+'Base valores'!I49</f>
        <v>-</v>
      </c>
      <c r="J47" s="66" t="str">
        <f>+'Base valores'!J49</f>
        <v>-</v>
      </c>
      <c r="K47" s="45">
        <f>+'Base valores'!AD49</f>
        <v>0</v>
      </c>
      <c r="L47" s="46">
        <f>+'Base valores'!AE49</f>
        <v>0</v>
      </c>
      <c r="M47" s="47">
        <f>+'Base valores'!AG49</f>
        <v>0</v>
      </c>
      <c r="O47" s="276" t="s">
        <v>17</v>
      </c>
    </row>
    <row r="48" spans="2:15" ht="14.25" thickBot="1" x14ac:dyDescent="0.3">
      <c r="B48" s="30">
        <v>40</v>
      </c>
      <c r="C48" s="70" t="str">
        <f>+'Base valores'!C50</f>
        <v>Jesus Gilberto Martinez Croda</v>
      </c>
      <c r="D48" s="68" t="str">
        <f>+'Base valores'!D50</f>
        <v>Proyecto Solar Los Nogales</v>
      </c>
      <c r="E48" s="68" t="str">
        <f>+'Base valores'!E50</f>
        <v>San Luis de la Paz</v>
      </c>
      <c r="F48" s="68" t="str">
        <f>+'Base valores'!F50</f>
        <v>Guanajuato</v>
      </c>
      <c r="G48" s="69" t="str">
        <f>+'Base valores'!G50</f>
        <v>Fotovoltaica</v>
      </c>
      <c r="H48" s="277">
        <f>+'Base valores'!H50</f>
        <v>64</v>
      </c>
      <c r="I48" s="65" t="str">
        <f>+'Base valores'!I50</f>
        <v>-</v>
      </c>
      <c r="J48" s="66" t="str">
        <f>+'Base valores'!J50</f>
        <v>-</v>
      </c>
      <c r="K48" s="45">
        <f>+'Base valores'!AD50</f>
        <v>0</v>
      </c>
      <c r="L48" s="46">
        <f>+'Base valores'!AE50</f>
        <v>0</v>
      </c>
      <c r="M48" s="47">
        <f>+'Base valores'!AG50</f>
        <v>0</v>
      </c>
      <c r="O48" s="276" t="s">
        <v>17</v>
      </c>
    </row>
    <row r="49" spans="2:15" ht="14.25" thickBot="1" x14ac:dyDescent="0.3">
      <c r="B49" s="30">
        <v>41</v>
      </c>
      <c r="C49" s="70" t="str">
        <f>+'Base valores'!C51</f>
        <v>Tecolote Recursos Ambientales S de RL de CV</v>
      </c>
      <c r="D49" s="68" t="str">
        <f>+'Base valores'!D51</f>
        <v>Santiago PV</v>
      </c>
      <c r="E49" s="68" t="str">
        <f>+'Base valores'!E51</f>
        <v>Santiago Ixcuintla</v>
      </c>
      <c r="F49" s="68" t="str">
        <f>+'Base valores'!F51</f>
        <v>Nayarit</v>
      </c>
      <c r="G49" s="69" t="str">
        <f>+'Base valores'!G51</f>
        <v>Fotovoltaica</v>
      </c>
      <c r="H49" s="277">
        <f>+'Base valores'!H51</f>
        <v>60</v>
      </c>
      <c r="I49" s="65" t="str">
        <f>+'Base valores'!I51</f>
        <v>-</v>
      </c>
      <c r="J49" s="66" t="str">
        <f>+'Base valores'!J51</f>
        <v>-</v>
      </c>
      <c r="K49" s="45">
        <f>+'Base valores'!AD51</f>
        <v>0</v>
      </c>
      <c r="L49" s="46">
        <f>+'Base valores'!AE51</f>
        <v>0</v>
      </c>
      <c r="M49" s="47">
        <f>+'Base valores'!AG51</f>
        <v>0</v>
      </c>
      <c r="O49" s="276" t="s">
        <v>17</v>
      </c>
    </row>
    <row r="50" spans="2:15" ht="14.25" thickBot="1" x14ac:dyDescent="0.3">
      <c r="B50" s="30">
        <v>42</v>
      </c>
      <c r="C50" s="70" t="str">
        <f>+'Base valores'!C52</f>
        <v>Invenergy Solar Development Mexico S de RL de CV</v>
      </c>
      <c r="D50" s="68" t="str">
        <f>+'Base valores'!D52</f>
        <v>Sol De Zacatecas</v>
      </c>
      <c r="E50" s="68" t="str">
        <f>+'Base valores'!E52</f>
        <v>Villa De Cos</v>
      </c>
      <c r="F50" s="68" t="str">
        <f>+'Base valores'!F52</f>
        <v>Zacatecas</v>
      </c>
      <c r="G50" s="69" t="str">
        <f>+'Base valores'!G52</f>
        <v>Fotovoltaica</v>
      </c>
      <c r="H50" s="277">
        <f>+'Base valores'!H52</f>
        <v>60</v>
      </c>
      <c r="I50" s="65" t="str">
        <f>+'Base valores'!I52</f>
        <v>-</v>
      </c>
      <c r="J50" s="66" t="str">
        <f>+'Base valores'!J52</f>
        <v>-</v>
      </c>
      <c r="K50" s="45">
        <f>+'Base valores'!AD52</f>
        <v>0</v>
      </c>
      <c r="L50" s="46">
        <f>+'Base valores'!AE52</f>
        <v>0</v>
      </c>
      <c r="M50" s="47">
        <f>+'Base valores'!AG52</f>
        <v>0</v>
      </c>
      <c r="O50" s="276" t="s">
        <v>17</v>
      </c>
    </row>
    <row r="51" spans="2:15" ht="14.25" thickBot="1" x14ac:dyDescent="0.3">
      <c r="B51" s="30">
        <v>43</v>
      </c>
      <c r="C51" s="70" t="str">
        <f>+'Base valores'!C53</f>
        <v>Raul Martinez Martin</v>
      </c>
      <c r="D51" s="68" t="str">
        <f>+'Base valores'!D53</f>
        <v>Tai Anahuac Solar</v>
      </c>
      <c r="E51" s="68" t="str">
        <f>+'Base valores'!E53</f>
        <v>Concepción del Oro</v>
      </c>
      <c r="F51" s="68" t="str">
        <f>+'Base valores'!F53</f>
        <v>Zacatecas</v>
      </c>
      <c r="G51" s="69" t="str">
        <f>+'Base valores'!G53</f>
        <v>Fotovoltaica</v>
      </c>
      <c r="H51" s="277">
        <f>+'Base valores'!H53</f>
        <v>226</v>
      </c>
      <c r="I51" s="65" t="str">
        <f>+'Base valores'!I53</f>
        <v>-</v>
      </c>
      <c r="J51" s="66" t="str">
        <f>+'Base valores'!J53</f>
        <v>-</v>
      </c>
      <c r="K51" s="45">
        <f>+'Base valores'!AD53</f>
        <v>0</v>
      </c>
      <c r="L51" s="46">
        <f>+'Base valores'!AE53</f>
        <v>0</v>
      </c>
      <c r="M51" s="47">
        <f>+'Base valores'!AG53</f>
        <v>0</v>
      </c>
      <c r="O51" s="276" t="s">
        <v>17</v>
      </c>
    </row>
    <row r="52" spans="2:15" ht="14.25" thickBot="1" x14ac:dyDescent="0.3">
      <c r="B52" s="30">
        <v>44</v>
      </c>
      <c r="C52" s="70" t="str">
        <f>+'Base valores'!C54</f>
        <v>Bellaterra Energia SA de CV</v>
      </c>
      <c r="D52" s="68" t="str">
        <f>+'Base valores'!D54</f>
        <v>Alborada Solar</v>
      </c>
      <c r="E52" s="68" t="str">
        <f>+'Base valores'!E54</f>
        <v>Tres Valles</v>
      </c>
      <c r="F52" s="68" t="str">
        <f>+'Base valores'!F54</f>
        <v>Veracruz</v>
      </c>
      <c r="G52" s="69" t="str">
        <f>+'Base valores'!G54</f>
        <v>Fotovoltaica</v>
      </c>
      <c r="H52" s="277">
        <f>+'Base valores'!H54</f>
        <v>102.11</v>
      </c>
      <c r="I52" s="65" t="str">
        <f>+'Base valores'!I54</f>
        <v>-</v>
      </c>
      <c r="J52" s="66" t="str">
        <f>+'Base valores'!J54</f>
        <v>-</v>
      </c>
      <c r="K52" s="45">
        <f>+'Base valores'!AD54</f>
        <v>0</v>
      </c>
      <c r="L52" s="46">
        <f>+'Base valores'!AE54</f>
        <v>0</v>
      </c>
      <c r="M52" s="47">
        <f>+'Base valores'!AG54</f>
        <v>0</v>
      </c>
      <c r="O52" s="276" t="s">
        <v>17</v>
      </c>
    </row>
    <row r="53" spans="2:15" ht="14.25" thickBot="1" x14ac:dyDescent="0.3">
      <c r="B53" s="30">
        <v>45</v>
      </c>
      <c r="C53" s="70" t="str">
        <f>+'Base valores'!C55</f>
        <v>Alten Energias Renovables Mexico Siete SA de CV</v>
      </c>
      <c r="D53" s="68" t="str">
        <f>+'Base valores'!D55</f>
        <v>Alten Siete</v>
      </c>
      <c r="E53" s="68" t="str">
        <f>+'Base valores'!E55</f>
        <v>Tepeyahualco</v>
      </c>
      <c r="F53" s="68" t="str">
        <f>+'Base valores'!F55</f>
        <v>Puebla</v>
      </c>
      <c r="G53" s="69" t="str">
        <f>+'Base valores'!G55</f>
        <v>Fotovoltaica</v>
      </c>
      <c r="H53" s="277">
        <f>+'Base valores'!H55</f>
        <v>250</v>
      </c>
      <c r="I53" s="65" t="str">
        <f>+'Base valores'!I55</f>
        <v>-</v>
      </c>
      <c r="J53" s="66" t="str">
        <f>+'Base valores'!J55</f>
        <v>-</v>
      </c>
      <c r="K53" s="45">
        <f>+'Base valores'!AD55</f>
        <v>0</v>
      </c>
      <c r="L53" s="46">
        <f>+'Base valores'!AE55</f>
        <v>0</v>
      </c>
      <c r="M53" s="47">
        <f>+'Base valores'!AG55</f>
        <v>0</v>
      </c>
      <c r="O53" s="276" t="s">
        <v>17</v>
      </c>
    </row>
    <row r="54" spans="2:15" ht="14.25" thickBot="1" x14ac:dyDescent="0.3">
      <c r="B54" s="30">
        <v>46</v>
      </c>
      <c r="C54" s="70" t="str">
        <f>+'Base valores'!C56</f>
        <v>San Marti Power SA de CV</v>
      </c>
      <c r="D54" s="68" t="str">
        <f>+'Base valores'!D56</f>
        <v>Ambar Solar</v>
      </c>
      <c r="E54" s="68" t="str">
        <f>+'Base valores'!E56</f>
        <v>Tres Valles</v>
      </c>
      <c r="F54" s="68" t="str">
        <f>+'Base valores'!F56</f>
        <v>Veracruz</v>
      </c>
      <c r="G54" s="69" t="str">
        <f>+'Base valores'!G56</f>
        <v>Fotovoltaica</v>
      </c>
      <c r="H54" s="277">
        <f>+'Base valores'!H56</f>
        <v>74.7</v>
      </c>
      <c r="I54" s="65" t="str">
        <f>+'Base valores'!I56</f>
        <v>-</v>
      </c>
      <c r="J54" s="66" t="str">
        <f>+'Base valores'!J56</f>
        <v>-</v>
      </c>
      <c r="K54" s="45">
        <f>+'Base valores'!AD56</f>
        <v>0</v>
      </c>
      <c r="L54" s="46">
        <f>+'Base valores'!AE56</f>
        <v>0</v>
      </c>
      <c r="M54" s="47">
        <f>+'Base valores'!AG56</f>
        <v>0</v>
      </c>
      <c r="O54" s="276" t="s">
        <v>17</v>
      </c>
    </row>
    <row r="55" spans="2:15" ht="14.25" thickBot="1" x14ac:dyDescent="0.3">
      <c r="B55" s="30">
        <v>47</v>
      </c>
      <c r="C55" s="70" t="str">
        <f>+'Base valores'!C57</f>
        <v>Terralia Energia y Campo SA de CV</v>
      </c>
      <c r="D55" s="68" t="str">
        <f>+'Base valores'!D57</f>
        <v>Central Eólica De México 2, S.A.P.I. De C.V.</v>
      </c>
      <c r="E55" s="68" t="str">
        <f>+'Base valores'!E57</f>
        <v>Atzitzintla</v>
      </c>
      <c r="F55" s="68" t="str">
        <f>+'Base valores'!F57</f>
        <v>Puebla</v>
      </c>
      <c r="G55" s="69" t="str">
        <f>+'Base valores'!G57</f>
        <v>Eólica</v>
      </c>
      <c r="H55" s="277">
        <f>+'Base valores'!H57</f>
        <v>102</v>
      </c>
      <c r="I55" s="65" t="str">
        <f>+'Base valores'!I57</f>
        <v>-</v>
      </c>
      <c r="J55" s="66" t="str">
        <f>+'Base valores'!J57</f>
        <v>-</v>
      </c>
      <c r="K55" s="45">
        <f>+'Base valores'!AD57</f>
        <v>0</v>
      </c>
      <c r="L55" s="46">
        <f>+'Base valores'!AE57</f>
        <v>0</v>
      </c>
      <c r="M55" s="47">
        <f>+'Base valores'!AG57</f>
        <v>0</v>
      </c>
      <c r="O55" s="276" t="s">
        <v>17</v>
      </c>
    </row>
    <row r="56" spans="2:15" ht="14.25" thickBot="1" x14ac:dyDescent="0.3">
      <c r="B56" s="30">
        <v>48</v>
      </c>
      <c r="C56" s="70" t="str">
        <f>+'Base valores'!C58</f>
        <v>Sunstone Power 1 S de RL de CV</v>
      </c>
      <c r="D56" s="68" t="str">
        <f>+'Base valores'!D58</f>
        <v>CIP - Horizonte Solar</v>
      </c>
      <c r="E56" s="68" t="str">
        <f>+'Base valores'!E58</f>
        <v>Tapachula</v>
      </c>
      <c r="F56" s="68" t="str">
        <f>+'Base valores'!F58</f>
        <v>Chiapas</v>
      </c>
      <c r="G56" s="69" t="str">
        <f>+'Base valores'!G58</f>
        <v>Fotovoltaica</v>
      </c>
      <c r="H56" s="277">
        <f>+'Base valores'!H58</f>
        <v>150</v>
      </c>
      <c r="I56" s="65" t="str">
        <f>+'Base valores'!I58</f>
        <v>-</v>
      </c>
      <c r="J56" s="66" t="str">
        <f>+'Base valores'!J58</f>
        <v>-</v>
      </c>
      <c r="K56" s="45">
        <f>+'Base valores'!AD58</f>
        <v>0</v>
      </c>
      <c r="L56" s="46">
        <f>+'Base valores'!AE58</f>
        <v>0</v>
      </c>
      <c r="M56" s="47">
        <f>+'Base valores'!AG58</f>
        <v>0</v>
      </c>
      <c r="O56" s="276" t="s">
        <v>17</v>
      </c>
    </row>
    <row r="57" spans="2:15" ht="14.25" thickBot="1" x14ac:dyDescent="0.3">
      <c r="B57" s="30">
        <v>49</v>
      </c>
      <c r="C57" s="70" t="str">
        <f>+'Base valores'!C59</f>
        <v>Terralia Energia y Campo SA de CV</v>
      </c>
      <c r="D57" s="68" t="str">
        <f>+'Base valores'!D59</f>
        <v>Los Rios</v>
      </c>
      <c r="E57" s="68" t="str">
        <f>+'Base valores'!E59</f>
        <v>Palenque</v>
      </c>
      <c r="F57" s="68" t="str">
        <f>+'Base valores'!F59</f>
        <v>Chiapas</v>
      </c>
      <c r="G57" s="69" t="str">
        <f>+'Base valores'!G59</f>
        <v>Fotovoltaica</v>
      </c>
      <c r="H57" s="277">
        <f>+'Base valores'!H59</f>
        <v>100</v>
      </c>
      <c r="I57" s="65" t="str">
        <f>+'Base valores'!I59</f>
        <v>-</v>
      </c>
      <c r="J57" s="66" t="str">
        <f>+'Base valores'!J59</f>
        <v>-</v>
      </c>
      <c r="K57" s="45">
        <f>+'Base valores'!AD59</f>
        <v>0</v>
      </c>
      <c r="L57" s="46">
        <f>+'Base valores'!AE59</f>
        <v>0</v>
      </c>
      <c r="M57" s="47">
        <f>+'Base valores'!AG59</f>
        <v>0</v>
      </c>
      <c r="O57" s="276" t="s">
        <v>17</v>
      </c>
    </row>
    <row r="58" spans="2:15" ht="14.25" thickBot="1" x14ac:dyDescent="0.3">
      <c r="B58" s="30">
        <v>50</v>
      </c>
      <c r="C58" s="70" t="str">
        <f>+'Base valores'!C60</f>
        <v>Malva New Energy SA de CV</v>
      </c>
      <c r="D58" s="68" t="str">
        <f>+'Base valores'!D60</f>
        <v>Malva Solar</v>
      </c>
      <c r="E58" s="68" t="str">
        <f>+'Base valores'!E60</f>
        <v>Moloacán</v>
      </c>
      <c r="F58" s="68" t="str">
        <f>+'Base valores'!F60</f>
        <v>Veracruz</v>
      </c>
      <c r="G58" s="69" t="str">
        <f>+'Base valores'!G60</f>
        <v>Fotovoltaica</v>
      </c>
      <c r="H58" s="277">
        <f>+'Base valores'!H60</f>
        <v>100.2</v>
      </c>
      <c r="I58" s="65" t="str">
        <f>+'Base valores'!I60</f>
        <v>-</v>
      </c>
      <c r="J58" s="66" t="str">
        <f>+'Base valores'!J60</f>
        <v>-</v>
      </c>
      <c r="K58" s="45">
        <f>+'Base valores'!AD60</f>
        <v>0</v>
      </c>
      <c r="L58" s="46">
        <f>+'Base valores'!AE60</f>
        <v>0</v>
      </c>
      <c r="M58" s="47">
        <f>+'Base valores'!AG60</f>
        <v>0</v>
      </c>
      <c r="O58" s="276" t="s">
        <v>17</v>
      </c>
    </row>
    <row r="59" spans="2:15" ht="14.25" thickBot="1" x14ac:dyDescent="0.3">
      <c r="B59" s="30">
        <v>51</v>
      </c>
      <c r="C59" s="70" t="str">
        <f>+'Base valores'!C61</f>
        <v>Guayacan Infraestructura Sustentable S de RL de CV</v>
      </c>
      <c r="D59" s="68" t="str">
        <f>+'Base valores'!D61</f>
        <v>Marimba Solar</v>
      </c>
      <c r="E59" s="68" t="str">
        <f>+'Base valores'!E61</f>
        <v>Agua Dulce</v>
      </c>
      <c r="F59" s="68" t="str">
        <f>+'Base valores'!F61</f>
        <v>Veracruz</v>
      </c>
      <c r="G59" s="69" t="str">
        <f>+'Base valores'!G61</f>
        <v>Fotovoltaica</v>
      </c>
      <c r="H59" s="277">
        <f>+'Base valores'!H61</f>
        <v>150</v>
      </c>
      <c r="I59" s="65" t="str">
        <f>+'Base valores'!I61</f>
        <v>-</v>
      </c>
      <c r="J59" s="66" t="str">
        <f>+'Base valores'!J61</f>
        <v>-</v>
      </c>
      <c r="K59" s="45">
        <f>+'Base valores'!AD61</f>
        <v>0</v>
      </c>
      <c r="L59" s="46">
        <f>+'Base valores'!AE61</f>
        <v>0</v>
      </c>
      <c r="M59" s="47">
        <f>+'Base valores'!AG61</f>
        <v>0</v>
      </c>
      <c r="O59" s="276" t="s">
        <v>17</v>
      </c>
    </row>
    <row r="60" spans="2:15" ht="14.25" thickBot="1" x14ac:dyDescent="0.3">
      <c r="B60" s="30">
        <v>52</v>
      </c>
      <c r="C60" s="70" t="str">
        <f>+'Base valores'!C62</f>
        <v>Matraca Maya SA de CV</v>
      </c>
      <c r="D60" s="68" t="str">
        <f>+'Base valores'!D62</f>
        <v>Matraca Maya</v>
      </c>
      <c r="E60" s="68" t="str">
        <f>+'Base valores'!E62</f>
        <v>San José Chiapa</v>
      </c>
      <c r="F60" s="68" t="str">
        <f>+'Base valores'!F62</f>
        <v>Puebla</v>
      </c>
      <c r="G60" s="69" t="str">
        <f>+'Base valores'!G62</f>
        <v>Fotovoltaica</v>
      </c>
      <c r="H60" s="277">
        <f>+'Base valores'!H62</f>
        <v>80</v>
      </c>
      <c r="I60" s="65" t="str">
        <f>+'Base valores'!I62</f>
        <v>-</v>
      </c>
      <c r="J60" s="66" t="str">
        <f>+'Base valores'!J62</f>
        <v>-</v>
      </c>
      <c r="K60" s="45">
        <f>+'Base valores'!AD62</f>
        <v>0</v>
      </c>
      <c r="L60" s="46">
        <f>+'Base valores'!AE62</f>
        <v>0</v>
      </c>
      <c r="M60" s="47">
        <f>+'Base valores'!AG62</f>
        <v>0</v>
      </c>
      <c r="O60" s="276" t="s">
        <v>17</v>
      </c>
    </row>
    <row r="61" spans="2:15" ht="14.25" thickBot="1" x14ac:dyDescent="0.3">
      <c r="B61" s="30">
        <v>53</v>
      </c>
      <c r="C61" s="70" t="str">
        <f>+'Base valores'!C63</f>
        <v>Angel Energia S de RL de CV</v>
      </c>
      <c r="D61" s="68" t="str">
        <f>+'Base valores'!D63</f>
        <v>Parque Solar Ángel 2</v>
      </c>
      <c r="E61" s="68" t="str">
        <f>+'Base valores'!E63</f>
        <v>Tlaxco</v>
      </c>
      <c r="F61" s="68" t="str">
        <f>+'Base valores'!F63</f>
        <v>Tlaxcala</v>
      </c>
      <c r="G61" s="69" t="str">
        <f>+'Base valores'!G63</f>
        <v>Fotovoltaica</v>
      </c>
      <c r="H61" s="277">
        <f>+'Base valores'!H63</f>
        <v>150</v>
      </c>
      <c r="I61" s="65" t="str">
        <f>+'Base valores'!I63</f>
        <v>-</v>
      </c>
      <c r="J61" s="66" t="str">
        <f>+'Base valores'!J63</f>
        <v>-</v>
      </c>
      <c r="K61" s="45">
        <f>+'Base valores'!AD63</f>
        <v>0</v>
      </c>
      <c r="L61" s="46">
        <f>+'Base valores'!AE63</f>
        <v>0</v>
      </c>
      <c r="M61" s="47">
        <f>+'Base valores'!AG63</f>
        <v>0</v>
      </c>
      <c r="O61" s="276" t="s">
        <v>17</v>
      </c>
    </row>
    <row r="62" spans="2:15" ht="14.25" thickBot="1" x14ac:dyDescent="0.3">
      <c r="B62" s="30">
        <v>54</v>
      </c>
      <c r="C62" s="70" t="str">
        <f>+'Base valores'!C64</f>
        <v>Turquesa Energia S de RL de CV</v>
      </c>
      <c r="D62" s="68" t="str">
        <f>+'Base valores'!D64</f>
        <v>Parque Solar Miguel</v>
      </c>
      <c r="E62" s="68" t="str">
        <f>+'Base valores'!E64</f>
        <v>Hueyotlipan</v>
      </c>
      <c r="F62" s="68" t="str">
        <f>+'Base valores'!F64</f>
        <v>Tlaxcala</v>
      </c>
      <c r="G62" s="69" t="str">
        <f>+'Base valores'!G64</f>
        <v>Fotovoltaica</v>
      </c>
      <c r="H62" s="277">
        <f>+'Base valores'!H64</f>
        <v>150</v>
      </c>
      <c r="I62" s="65" t="str">
        <f>+'Base valores'!I64</f>
        <v>-</v>
      </c>
      <c r="J62" s="66" t="str">
        <f>+'Base valores'!J64</f>
        <v>-</v>
      </c>
      <c r="K62" s="45">
        <f>+'Base valores'!AD64</f>
        <v>0</v>
      </c>
      <c r="L62" s="46">
        <f>+'Base valores'!AE64</f>
        <v>0</v>
      </c>
      <c r="M62" s="47">
        <f>+'Base valores'!AG64</f>
        <v>0</v>
      </c>
      <c r="O62" s="276" t="s">
        <v>17</v>
      </c>
    </row>
    <row r="63" spans="2:15" ht="14.25" thickBot="1" x14ac:dyDescent="0.3">
      <c r="B63" s="30">
        <v>55</v>
      </c>
      <c r="C63" s="70" t="str">
        <f>+'Base valores'!C65</f>
        <v>SE Renewable Delta SA de CV</v>
      </c>
      <c r="D63" s="68" t="str">
        <f>+'Base valores'!D65</f>
        <v>PFV Santa Fe II</v>
      </c>
      <c r="E63" s="68" t="str">
        <f>+'Base valores'!E65</f>
        <v>La Antigua</v>
      </c>
      <c r="F63" s="68" t="str">
        <f>+'Base valores'!F65</f>
        <v>Veracruz</v>
      </c>
      <c r="G63" s="69" t="str">
        <f>+'Base valores'!G65</f>
        <v>Fotovoltaica</v>
      </c>
      <c r="H63" s="277">
        <f>+'Base valores'!H65</f>
        <v>65</v>
      </c>
      <c r="I63" s="65" t="str">
        <f>+'Base valores'!I65</f>
        <v>-</v>
      </c>
      <c r="J63" s="66" t="str">
        <f>+'Base valores'!J65</f>
        <v>-</v>
      </c>
      <c r="K63" s="45">
        <f>+'Base valores'!AD65</f>
        <v>0</v>
      </c>
      <c r="L63" s="46">
        <f>+'Base valores'!AE65</f>
        <v>0</v>
      </c>
      <c r="M63" s="47">
        <f>+'Base valores'!AG65</f>
        <v>0</v>
      </c>
      <c r="O63" s="276" t="s">
        <v>17</v>
      </c>
    </row>
    <row r="64" spans="2:15" ht="14.25" thickBot="1" x14ac:dyDescent="0.3">
      <c r="B64" s="30">
        <v>56</v>
      </c>
      <c r="C64" s="70" t="str">
        <f>+'Base valores'!C66</f>
        <v>Carcasola S de RL de CV</v>
      </c>
      <c r="D64" s="68" t="str">
        <f>+'Base valores'!D66</f>
        <v>Jarocho Solar</v>
      </c>
      <c r="E64" s="68" t="str">
        <f>+'Base valores'!E66</f>
        <v>La Antigua</v>
      </c>
      <c r="F64" s="68" t="str">
        <f>+'Base valores'!F66</f>
        <v>Veracruz</v>
      </c>
      <c r="G64" s="69" t="str">
        <f>+'Base valores'!G66</f>
        <v>Fotovoltaica</v>
      </c>
      <c r="H64" s="277">
        <f>+'Base valores'!H66</f>
        <v>115</v>
      </c>
      <c r="I64" s="65" t="str">
        <f>+'Base valores'!I66</f>
        <v>-</v>
      </c>
      <c r="J64" s="66" t="str">
        <f>+'Base valores'!J66</f>
        <v>-</v>
      </c>
      <c r="K64" s="45">
        <f>+'Base valores'!AD66</f>
        <v>0</v>
      </c>
      <c r="L64" s="46">
        <f>+'Base valores'!AE66</f>
        <v>0</v>
      </c>
      <c r="M64" s="47">
        <f>+'Base valores'!AG66</f>
        <v>0</v>
      </c>
      <c r="O64" s="276" t="s">
        <v>17</v>
      </c>
    </row>
    <row r="65" spans="2:15" ht="14.25" thickBot="1" x14ac:dyDescent="0.3">
      <c r="B65" s="30">
        <v>57</v>
      </c>
      <c r="C65" s="70" t="str">
        <f>+'Base valores'!C67</f>
        <v>Jesus Gilberto Martinez Croda</v>
      </c>
      <c r="D65" s="68" t="str">
        <f>+'Base valores'!D67</f>
        <v>Proyecto Solar Las Cañas</v>
      </c>
      <c r="E65" s="68" t="str">
        <f>+'Base valores'!E67</f>
        <v>Puente Nacional</v>
      </c>
      <c r="F65" s="68" t="str">
        <f>+'Base valores'!F67</f>
        <v>Veracruz</v>
      </c>
      <c r="G65" s="69" t="str">
        <f>+'Base valores'!G67</f>
        <v>Fotovoltaica</v>
      </c>
      <c r="H65" s="277">
        <f>+'Base valores'!H67</f>
        <v>80</v>
      </c>
      <c r="I65" s="65" t="str">
        <f>+'Base valores'!I67</f>
        <v>-</v>
      </c>
      <c r="J65" s="66" t="str">
        <f>+'Base valores'!J67</f>
        <v>-</v>
      </c>
      <c r="K65" s="45">
        <f>+'Base valores'!AD67</f>
        <v>0</v>
      </c>
      <c r="L65" s="46">
        <f>+'Base valores'!AE67</f>
        <v>0</v>
      </c>
      <c r="M65" s="47">
        <f>+'Base valores'!AG67</f>
        <v>0</v>
      </c>
      <c r="O65" s="276" t="s">
        <v>17</v>
      </c>
    </row>
    <row r="66" spans="2:15" ht="14.25" thickBot="1" x14ac:dyDescent="0.3">
      <c r="B66" s="30">
        <v>58</v>
      </c>
      <c r="C66" s="70" t="str">
        <f>+'Base valores'!C68</f>
        <v>Kineom S de RL de CV</v>
      </c>
      <c r="D66" s="68" t="str">
        <f>+'Base valores'!D68</f>
        <v>Trapiche Solar</v>
      </c>
      <c r="E66" s="68" t="str">
        <f>+'Base valores'!E68</f>
        <v>Soledad de Doblado</v>
      </c>
      <c r="F66" s="68" t="str">
        <f>+'Base valores'!F68</f>
        <v>Veracruz</v>
      </c>
      <c r="G66" s="69" t="str">
        <f>+'Base valores'!G68</f>
        <v>Fotovoltaica</v>
      </c>
      <c r="H66" s="277">
        <f>+'Base valores'!H68</f>
        <v>110</v>
      </c>
      <c r="I66" s="65" t="str">
        <f>+'Base valores'!I68</f>
        <v>-</v>
      </c>
      <c r="J66" s="66" t="str">
        <f>+'Base valores'!J68</f>
        <v>-</v>
      </c>
      <c r="K66" s="45">
        <f>+'Base valores'!AD68</f>
        <v>0</v>
      </c>
      <c r="L66" s="46">
        <f>+'Base valores'!AE68</f>
        <v>0</v>
      </c>
      <c r="M66" s="47">
        <f>+'Base valores'!AG68</f>
        <v>0</v>
      </c>
      <c r="O66" s="276" t="s">
        <v>17</v>
      </c>
    </row>
    <row r="67" spans="2:15" ht="14.25" thickBot="1" x14ac:dyDescent="0.3">
      <c r="B67" s="30">
        <v>59</v>
      </c>
      <c r="C67" s="70" t="str">
        <f>+'Base valores'!C69</f>
        <v>Solarvatio SA de CV</v>
      </c>
      <c r="D67" s="68" t="str">
        <f>+'Base valores'!D69</f>
        <v>Planta Fotovoltaica Carmela</v>
      </c>
      <c r="E67" s="68" t="str">
        <f>+'Base valores'!E69</f>
        <v>San Pablo Etla</v>
      </c>
      <c r="F67" s="68" t="str">
        <f>+'Base valores'!F69</f>
        <v>Oaxaca</v>
      </c>
      <c r="G67" s="69" t="str">
        <f>+'Base valores'!G69</f>
        <v>Fotovoltaica</v>
      </c>
      <c r="H67" s="277">
        <f>+'Base valores'!H69</f>
        <v>4.04</v>
      </c>
      <c r="I67" s="65" t="str">
        <f>+'Base valores'!I69</f>
        <v>-</v>
      </c>
      <c r="J67" s="66" t="str">
        <f>+'Base valores'!J69</f>
        <v>-</v>
      </c>
      <c r="K67" s="45">
        <f>+'Base valores'!AD69</f>
        <v>0</v>
      </c>
      <c r="L67" s="46">
        <f>+'Base valores'!AE69</f>
        <v>0</v>
      </c>
      <c r="M67" s="47">
        <f>+'Base valores'!AG69</f>
        <v>0</v>
      </c>
      <c r="O67" s="276" t="s">
        <v>17</v>
      </c>
    </row>
    <row r="68" spans="2:15" ht="14.25" thickBot="1" x14ac:dyDescent="0.3">
      <c r="B68" s="30">
        <v>60</v>
      </c>
      <c r="C68" s="70" t="str">
        <f>+'Base valores'!C70</f>
        <v>Rho Solar S de RL de CV</v>
      </c>
      <c r="D68" s="68" t="str">
        <f>+'Base valores'!D70</f>
        <v>PS Altamirano</v>
      </c>
      <c r="E68" s="68" t="str">
        <f>+'Base valores'!E70</f>
        <v>Manlio Fabio Altamirano</v>
      </c>
      <c r="F68" s="68" t="str">
        <f>+'Base valores'!F70</f>
        <v>Veracruz</v>
      </c>
      <c r="G68" s="69" t="str">
        <f>+'Base valores'!G70</f>
        <v>Fotovoltaica</v>
      </c>
      <c r="H68" s="277">
        <f>+'Base valores'!H70</f>
        <v>139</v>
      </c>
      <c r="I68" s="65" t="str">
        <f>+'Base valores'!I70</f>
        <v>-</v>
      </c>
      <c r="J68" s="66" t="str">
        <f>+'Base valores'!J70</f>
        <v>-</v>
      </c>
      <c r="K68" s="45">
        <f>+'Base valores'!AD70</f>
        <v>0</v>
      </c>
      <c r="L68" s="46">
        <f>+'Base valores'!AE70</f>
        <v>0</v>
      </c>
      <c r="M68" s="47">
        <f>+'Base valores'!AG70</f>
        <v>0</v>
      </c>
      <c r="O68" s="276" t="s">
        <v>17</v>
      </c>
    </row>
    <row r="69" spans="2:15" ht="14.25" thickBot="1" x14ac:dyDescent="0.3">
      <c r="B69" s="30">
        <v>61</v>
      </c>
      <c r="C69" s="70" t="str">
        <f>+'Base valores'!C71</f>
        <v>PV El Sol de Santa Clara SG S de RL de CV</v>
      </c>
      <c r="D69" s="68" t="str">
        <f>+'Base valores'!D71</f>
        <v>PV Alamo I Solar</v>
      </c>
      <c r="E69" s="68" t="str">
        <f>+'Base valores'!E71</f>
        <v>Álamo Temapache</v>
      </c>
      <c r="F69" s="68" t="str">
        <f>+'Base valores'!F71</f>
        <v>Veracruz</v>
      </c>
      <c r="G69" s="69" t="str">
        <f>+'Base valores'!G71</f>
        <v>Fotovoltaica</v>
      </c>
      <c r="H69" s="277">
        <f>+'Base valores'!H71</f>
        <v>52</v>
      </c>
      <c r="I69" s="65" t="str">
        <f>+'Base valores'!I71</f>
        <v>-</v>
      </c>
      <c r="J69" s="66" t="str">
        <f>+'Base valores'!J71</f>
        <v>-</v>
      </c>
      <c r="K69" s="45">
        <f>+'Base valores'!AD71</f>
        <v>0</v>
      </c>
      <c r="L69" s="46">
        <f>+'Base valores'!AE71</f>
        <v>0</v>
      </c>
      <c r="M69" s="47">
        <f>+'Base valores'!AG71</f>
        <v>0</v>
      </c>
      <c r="O69" s="276" t="s">
        <v>17</v>
      </c>
    </row>
    <row r="70" spans="2:15" ht="14.25" thickBot="1" x14ac:dyDescent="0.3">
      <c r="B70" s="30">
        <v>62</v>
      </c>
      <c r="C70" s="70" t="str">
        <f>+'Base valores'!C72</f>
        <v>PV Loma Bonita Solar SG S de RL de CV</v>
      </c>
      <c r="D70" s="68" t="str">
        <f>+'Base valores'!D72</f>
        <v>PV Loma Bonita Solar</v>
      </c>
      <c r="E70" s="68" t="str">
        <f>+'Base valores'!E72</f>
        <v>Loma Bonita</v>
      </c>
      <c r="F70" s="68" t="str">
        <f>+'Base valores'!F72</f>
        <v>Oaxaca</v>
      </c>
      <c r="G70" s="69" t="str">
        <f>+'Base valores'!G72</f>
        <v>Fotovoltaica</v>
      </c>
      <c r="H70" s="277">
        <f>+'Base valores'!H72</f>
        <v>67</v>
      </c>
      <c r="I70" s="65" t="str">
        <f>+'Base valores'!I72</f>
        <v>-</v>
      </c>
      <c r="J70" s="66" t="str">
        <f>+'Base valores'!J72</f>
        <v>-</v>
      </c>
      <c r="K70" s="45">
        <f>+'Base valores'!AD72</f>
        <v>0</v>
      </c>
      <c r="L70" s="46">
        <f>+'Base valores'!AE72</f>
        <v>0</v>
      </c>
      <c r="M70" s="47">
        <f>+'Base valores'!AG72</f>
        <v>0</v>
      </c>
      <c r="O70" s="276" t="s">
        <v>17</v>
      </c>
    </row>
    <row r="71" spans="2:15" ht="14.25" thickBot="1" x14ac:dyDescent="0.3">
      <c r="B71" s="30">
        <v>63</v>
      </c>
      <c r="C71" s="70" t="str">
        <f>+'Base valores'!C73</f>
        <v>PV Tacana Solar SG S de RL de CV</v>
      </c>
      <c r="D71" s="68" t="str">
        <f>+'Base valores'!D73</f>
        <v>PV Tacana Solar</v>
      </c>
      <c r="E71" s="68" t="str">
        <f>+'Base valores'!E73</f>
        <v>Tapachula</v>
      </c>
      <c r="F71" s="68" t="str">
        <f>+'Base valores'!F73</f>
        <v>Chiapas</v>
      </c>
      <c r="G71" s="69" t="str">
        <f>+'Base valores'!G73</f>
        <v>Fotovoltaica</v>
      </c>
      <c r="H71" s="277">
        <f>+'Base valores'!H73</f>
        <v>49.8</v>
      </c>
      <c r="I71" s="65" t="str">
        <f>+'Base valores'!I73</f>
        <v>-</v>
      </c>
      <c r="J71" s="66" t="str">
        <f>+'Base valores'!J73</f>
        <v>-</v>
      </c>
      <c r="K71" s="45">
        <f>+'Base valores'!AD73</f>
        <v>0</v>
      </c>
      <c r="L71" s="46">
        <f>+'Base valores'!AE73</f>
        <v>0</v>
      </c>
      <c r="M71" s="47">
        <f>+'Base valores'!AG73</f>
        <v>0</v>
      </c>
      <c r="O71" s="276" t="s">
        <v>17</v>
      </c>
    </row>
    <row r="72" spans="2:15" ht="14.25" thickBot="1" x14ac:dyDescent="0.3">
      <c r="B72" s="30">
        <v>64</v>
      </c>
      <c r="C72" s="278" t="str">
        <f>+'Base valores'!C74</f>
        <v>PV El Tintillo Solar SG S de RL de CV</v>
      </c>
      <c r="D72" s="279" t="str">
        <f>+'Base valores'!D74</f>
        <v>PV Tecamachalco Solar</v>
      </c>
      <c r="E72" s="279" t="str">
        <f>+'Base valores'!E74</f>
        <v>Tecamachalco</v>
      </c>
      <c r="F72" s="279" t="str">
        <f>+'Base valores'!F74</f>
        <v>Puebla</v>
      </c>
      <c r="G72" s="280" t="str">
        <f>+'Base valores'!G74</f>
        <v>Fotovoltaica</v>
      </c>
      <c r="H72" s="277">
        <f>+'Base valores'!H74</f>
        <v>36</v>
      </c>
      <c r="I72" s="65" t="str">
        <f>+'Base valores'!I74</f>
        <v>-</v>
      </c>
      <c r="J72" s="66" t="str">
        <f>+'Base valores'!J74</f>
        <v>-</v>
      </c>
      <c r="K72" s="45">
        <f>+'Base valores'!AD74</f>
        <v>0</v>
      </c>
      <c r="L72" s="46">
        <f>+'Base valores'!AE74</f>
        <v>0</v>
      </c>
      <c r="M72" s="47">
        <f>+'Base valores'!AG74</f>
        <v>0</v>
      </c>
      <c r="O72" s="281" t="s">
        <v>17</v>
      </c>
    </row>
    <row r="73" spans="2:15" ht="14.25" hidden="1" thickBot="1" x14ac:dyDescent="0.3">
      <c r="B73" s="30"/>
      <c r="C73" s="83"/>
      <c r="D73" s="84"/>
      <c r="E73" s="83"/>
      <c r="F73" s="85"/>
      <c r="G73" s="86"/>
      <c r="H73" s="87"/>
      <c r="I73" s="88"/>
      <c r="J73" s="88"/>
      <c r="K73" s="89"/>
      <c r="L73" s="90"/>
      <c r="M73" s="91"/>
    </row>
    <row r="74" spans="2:15" ht="14.25" thickBot="1" x14ac:dyDescent="0.3">
      <c r="B74" s="30"/>
      <c r="C74" s="2"/>
      <c r="F74" s="313" t="s">
        <v>18</v>
      </c>
      <c r="G74" s="314"/>
      <c r="H74" s="64"/>
      <c r="I74" s="64"/>
      <c r="J74" s="64"/>
      <c r="K74" s="60">
        <f>AVERAGE(K9:K72)</f>
        <v>0</v>
      </c>
      <c r="L74" s="61">
        <f>AVERAGE(L9:L72)</f>
        <v>0</v>
      </c>
      <c r="M74" s="59">
        <f>AVERAGE(M9:M72)</f>
        <v>0</v>
      </c>
    </row>
    <row r="85" spans="3:15" x14ac:dyDescent="0.25">
      <c r="C85" s="2"/>
      <c r="E85" s="5"/>
      <c r="F85" s="5"/>
      <c r="G85" s="5"/>
      <c r="H85" s="5"/>
      <c r="I85" s="5"/>
      <c r="J85" s="5"/>
      <c r="K85" s="5"/>
      <c r="L85" s="5"/>
      <c r="M85" s="5"/>
    </row>
    <row r="86" spans="3:15" x14ac:dyDescent="0.25">
      <c r="C86" s="2"/>
    </row>
    <row r="94" spans="3:15" ht="14.25" thickBot="1" x14ac:dyDescent="0.3"/>
    <row r="95" spans="3:15" ht="14.25" thickBot="1" x14ac:dyDescent="0.3">
      <c r="C95" s="308" t="s">
        <v>19</v>
      </c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10"/>
    </row>
    <row r="96" spans="3:15" x14ac:dyDescent="0.25">
      <c r="C96" s="305" t="s">
        <v>20</v>
      </c>
      <c r="D96" s="52" t="s">
        <v>21</v>
      </c>
      <c r="E96" s="305" t="s">
        <v>22</v>
      </c>
      <c r="F96" s="57" t="s">
        <v>23</v>
      </c>
      <c r="G96" s="19"/>
      <c r="H96" s="19"/>
      <c r="I96" s="19"/>
      <c r="J96" s="19"/>
      <c r="K96" s="19"/>
      <c r="L96" s="18"/>
      <c r="M96" s="19"/>
      <c r="N96" s="19"/>
      <c r="O96" s="34"/>
    </row>
    <row r="97" spans="3:15" x14ac:dyDescent="0.25">
      <c r="C97" s="306"/>
      <c r="D97" s="53" t="s">
        <v>24</v>
      </c>
      <c r="E97" s="306"/>
      <c r="F97" s="58" t="s">
        <v>25</v>
      </c>
      <c r="L97" s="5"/>
      <c r="O97" s="35"/>
    </row>
    <row r="98" spans="3:15" ht="14.25" thickBot="1" x14ac:dyDescent="0.3">
      <c r="C98" s="307"/>
      <c r="D98" s="54" t="s">
        <v>26</v>
      </c>
      <c r="E98" s="306"/>
      <c r="F98" s="58" t="s">
        <v>27</v>
      </c>
      <c r="L98" s="5"/>
      <c r="O98" s="35"/>
    </row>
    <row r="99" spans="3:15" x14ac:dyDescent="0.25">
      <c r="C99" s="319" t="s">
        <v>28</v>
      </c>
      <c r="D99" s="115" t="s">
        <v>29</v>
      </c>
      <c r="E99" s="306"/>
      <c r="F99" s="58" t="s">
        <v>30</v>
      </c>
      <c r="G99" s="5"/>
      <c r="H99" s="5"/>
      <c r="I99" s="5"/>
      <c r="J99" s="5"/>
      <c r="L99" s="5"/>
      <c r="O99" s="35"/>
    </row>
    <row r="100" spans="3:15" x14ac:dyDescent="0.25">
      <c r="C100" s="320"/>
      <c r="D100" s="116" t="s">
        <v>372</v>
      </c>
      <c r="E100" s="306"/>
      <c r="F100" s="58" t="s">
        <v>31</v>
      </c>
      <c r="G100" s="5"/>
      <c r="H100" s="5"/>
      <c r="I100" s="5"/>
      <c r="J100" s="5"/>
      <c r="L100" s="5"/>
      <c r="O100" s="35"/>
    </row>
    <row r="101" spans="3:15" ht="14.25" thickBot="1" x14ac:dyDescent="0.3">
      <c r="C101" s="321"/>
      <c r="D101" s="117" t="s">
        <v>373</v>
      </c>
      <c r="E101" s="306"/>
      <c r="F101" s="58" t="s">
        <v>32</v>
      </c>
      <c r="G101" s="5"/>
      <c r="H101" s="5"/>
      <c r="I101" s="5"/>
      <c r="J101" s="5"/>
      <c r="L101" s="5"/>
      <c r="O101" s="35"/>
    </row>
    <row r="102" spans="3:15" x14ac:dyDescent="0.25">
      <c r="C102" s="62" t="s">
        <v>33</v>
      </c>
      <c r="D102" s="63" t="s">
        <v>34</v>
      </c>
      <c r="E102" s="306"/>
      <c r="F102" s="58" t="s">
        <v>35</v>
      </c>
      <c r="G102" s="5"/>
      <c r="H102" s="5"/>
      <c r="I102" s="5"/>
      <c r="J102" s="5"/>
      <c r="L102" s="5"/>
      <c r="O102" s="35"/>
    </row>
    <row r="103" spans="3:15" x14ac:dyDescent="0.25">
      <c r="C103" s="317" t="s">
        <v>36</v>
      </c>
      <c r="D103" s="315" t="s">
        <v>37</v>
      </c>
      <c r="E103" s="306"/>
      <c r="F103" s="55" t="s">
        <v>38</v>
      </c>
      <c r="G103" s="5"/>
      <c r="H103" s="5"/>
      <c r="I103" s="5"/>
      <c r="J103" s="5"/>
      <c r="L103" s="5"/>
      <c r="O103" s="35"/>
    </row>
    <row r="104" spans="3:15" x14ac:dyDescent="0.25">
      <c r="C104" s="317"/>
      <c r="D104" s="315"/>
      <c r="E104" s="306"/>
      <c r="F104" s="55" t="s">
        <v>39</v>
      </c>
      <c r="G104" s="5"/>
      <c r="H104" s="5"/>
      <c r="I104" s="5"/>
      <c r="J104" s="5"/>
      <c r="L104" s="5"/>
      <c r="O104" s="35"/>
    </row>
    <row r="105" spans="3:15" ht="14.25" thickBot="1" x14ac:dyDescent="0.3">
      <c r="C105" s="318"/>
      <c r="D105" s="316"/>
      <c r="E105" s="307"/>
      <c r="F105" s="56" t="s">
        <v>40</v>
      </c>
      <c r="G105" s="39"/>
      <c r="H105" s="39"/>
      <c r="I105" s="39"/>
      <c r="J105" s="39"/>
      <c r="K105" s="26"/>
      <c r="L105" s="39"/>
      <c r="M105" s="26"/>
      <c r="N105" s="26"/>
      <c r="O105" s="36"/>
    </row>
    <row r="106" spans="3:15" ht="6" customHeight="1" x14ac:dyDescent="0.25"/>
    <row r="108" spans="3:15" hidden="1" x14ac:dyDescent="0.25"/>
    <row r="109" spans="3:15" hidden="1" x14ac:dyDescent="0.25">
      <c r="K109" s="76">
        <v>1</v>
      </c>
      <c r="L109" s="76">
        <v>1</v>
      </c>
      <c r="M109" s="76">
        <v>1</v>
      </c>
    </row>
    <row r="110" spans="3:15" hidden="1" x14ac:dyDescent="0.25">
      <c r="K110" s="76">
        <v>0</v>
      </c>
      <c r="L110" s="76">
        <v>0</v>
      </c>
      <c r="M110" s="76">
        <v>0</v>
      </c>
    </row>
    <row r="111" spans="3:15" x14ac:dyDescent="0.25">
      <c r="C111" s="51"/>
      <c r="D111" s="29"/>
    </row>
    <row r="112" spans="3:15" x14ac:dyDescent="0.25">
      <c r="C112" s="51"/>
      <c r="D112" s="29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</sheetData>
  <autoFilter ref="C8:M8" xr:uid="{7601AF97-A91F-4115-9A98-6C206A130AA0}">
    <sortState xmlns:xlrd2="http://schemas.microsoft.com/office/spreadsheetml/2017/richdata2" ref="C9:M48">
      <sortCondition descending="1" ref="K8"/>
    </sortState>
  </autoFilter>
  <sortState xmlns:xlrd2="http://schemas.microsoft.com/office/spreadsheetml/2017/richdata2" ref="C9:M72">
    <sortCondition descending="1" ref="K9:K72"/>
  </sortState>
  <mergeCells count="13">
    <mergeCell ref="E2:N2"/>
    <mergeCell ref="E3:N3"/>
    <mergeCell ref="E4:N4"/>
    <mergeCell ref="E5:N5"/>
    <mergeCell ref="E96:E105"/>
    <mergeCell ref="C95:O95"/>
    <mergeCell ref="O7:O8"/>
    <mergeCell ref="F74:G74"/>
    <mergeCell ref="D103:D105"/>
    <mergeCell ref="C103:C105"/>
    <mergeCell ref="C96:C98"/>
    <mergeCell ref="C99:C101"/>
    <mergeCell ref="K7:M7"/>
  </mergeCells>
  <conditionalFormatting sqref="C99">
    <cfRule type="iconSet" priority="7">
      <iconSet>
        <cfvo type="percent" val="0"/>
        <cfvo type="percent" val="80"/>
        <cfvo type="percent" val="90"/>
      </iconSet>
    </cfRule>
  </conditionalFormatting>
  <conditionalFormatting sqref="K1:M6 K7 K8:M1048576">
    <cfRule type="iconSet" priority="1">
      <iconSet>
        <cfvo type="percent" val="0"/>
        <cfvo type="percent" val="76"/>
        <cfvo type="percent" val="85"/>
      </iconSet>
    </cfRule>
  </conditionalFormatting>
  <conditionalFormatting sqref="O9:O72">
    <cfRule type="containsText" dxfId="10" priority="2" operator="containsText" text="B">
      <formula>NOT(ISERROR(SEARCH("B",O9)))</formula>
    </cfRule>
    <cfRule type="containsText" dxfId="9" priority="3" operator="containsText" text="A">
      <formula>NOT(ISERROR(SEARCH("A",O9)))</formula>
    </cfRule>
    <cfRule type="containsText" dxfId="8" priority="4" operator="containsText" text="C">
      <formula>NOT(ISERROR(SEARCH("C",O9)))</formula>
    </cfRule>
  </conditionalFormatting>
  <printOptions horizontalCentered="1"/>
  <pageMargins left="0.19685039370078741" right="0.19685039370078741" top="0.39370078740157483" bottom="0.39370078740157483" header="0" footer="0"/>
  <pageSetup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8040-8CFF-4743-8ED3-673E32DB7260}">
  <sheetPr>
    <tabColor rgb="FF0070C0"/>
    <pageSetUpPr fitToPage="1"/>
  </sheetPr>
  <dimension ref="B1:Z42"/>
  <sheetViews>
    <sheetView zoomScale="85" zoomScaleNormal="85" zoomScaleSheetLayoutView="80" workbookViewId="0">
      <selection activeCell="C7" sqref="C7:C8"/>
    </sheetView>
  </sheetViews>
  <sheetFormatPr baseColWidth="10" defaultColWidth="11.42578125" defaultRowHeight="13.5" x14ac:dyDescent="0.25"/>
  <cols>
    <col min="1" max="1" width="3" style="2" customWidth="1"/>
    <col min="2" max="2" width="2.42578125" style="2" bestFit="1" customWidth="1"/>
    <col min="3" max="3" width="23.5703125" style="3" bestFit="1" customWidth="1"/>
    <col min="4" max="4" width="39.42578125" style="2" bestFit="1" customWidth="1"/>
    <col min="5" max="5" width="24.28515625" style="2" bestFit="1" customWidth="1"/>
    <col min="6" max="6" width="14.5703125" style="2" bestFit="1" customWidth="1"/>
    <col min="7" max="7" width="10.28515625" style="2" bestFit="1" customWidth="1"/>
    <col min="8" max="8" width="18" style="2" customWidth="1"/>
    <col min="9" max="10" width="10.28515625" style="2" customWidth="1"/>
    <col min="11" max="11" width="11.5703125" style="2" bestFit="1" customWidth="1"/>
    <col min="12" max="12" width="11.42578125" style="2" customWidth="1"/>
    <col min="13" max="15" width="12.7109375" style="2" bestFit="1" customWidth="1"/>
    <col min="16" max="16" width="9.42578125" style="2" customWidth="1"/>
    <col min="17" max="20" width="12.7109375" style="2" bestFit="1" customWidth="1"/>
    <col min="21" max="21" width="1.140625" style="2" customWidth="1"/>
    <col min="22" max="22" width="10.140625" style="2" customWidth="1"/>
    <col min="23" max="23" width="1.140625" style="2" customWidth="1"/>
    <col min="24" max="24" width="11.42578125" style="2"/>
    <col min="25" max="25" width="3" style="2" customWidth="1"/>
    <col min="26" max="26" width="3.28515625" style="2" customWidth="1"/>
    <col min="27" max="16384" width="11.42578125" style="2"/>
  </cols>
  <sheetData>
    <row r="1" spans="2:26" ht="6.75" customHeight="1" thickBot="1" x14ac:dyDescent="0.3"/>
    <row r="2" spans="2:26" x14ac:dyDescent="0.25">
      <c r="C2" s="31"/>
      <c r="D2" s="34"/>
      <c r="E2" s="297" t="str">
        <f>+'Base valores'!AB2</f>
        <v>COMISIÓN FEDERAL DE ELECTRICIDAD</v>
      </c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379"/>
      <c r="V2" s="107" t="s">
        <v>0</v>
      </c>
    </row>
    <row r="3" spans="2:26" x14ac:dyDescent="0.25">
      <c r="C3" s="32"/>
      <c r="D3" s="35"/>
      <c r="E3" s="300" t="str">
        <f>+'Base valores'!AB3</f>
        <v>COORDINACIÓN DE PROYECTOS DE ENERGÍAS LIMPIAS</v>
      </c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80"/>
      <c r="V3" s="108">
        <v>4</v>
      </c>
    </row>
    <row r="4" spans="2:26" ht="14.25" thickBot="1" x14ac:dyDescent="0.3">
      <c r="C4" s="32"/>
      <c r="D4" s="35"/>
      <c r="E4" s="381" t="str">
        <f>+'Base valores'!AB4</f>
        <v>GERENCIA DE CONSTRUCCIÓN</v>
      </c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383"/>
      <c r="V4" s="109">
        <f ca="1">TODAY()</f>
        <v>46322</v>
      </c>
    </row>
    <row r="5" spans="2:26" ht="16.5" thickBot="1" x14ac:dyDescent="0.3">
      <c r="C5" s="33"/>
      <c r="D5" s="36"/>
      <c r="E5" s="303" t="s">
        <v>1</v>
      </c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84"/>
      <c r="V5" s="44"/>
    </row>
    <row r="6" spans="2:26" ht="6" customHeight="1" thickBot="1" x14ac:dyDescent="0.3"/>
    <row r="7" spans="2:26" ht="15.75" customHeight="1" thickBot="1" x14ac:dyDescent="0.3">
      <c r="C7" s="391" t="s">
        <v>2</v>
      </c>
      <c r="D7" s="393" t="s">
        <v>3</v>
      </c>
      <c r="E7" s="393" t="s">
        <v>4</v>
      </c>
      <c r="F7" s="393" t="s">
        <v>5</v>
      </c>
      <c r="G7" s="395" t="s">
        <v>6</v>
      </c>
      <c r="H7" s="385" t="s">
        <v>7</v>
      </c>
      <c r="I7" s="387" t="s">
        <v>41</v>
      </c>
      <c r="J7" s="389" t="s">
        <v>9</v>
      </c>
      <c r="K7" s="376" t="s">
        <v>42</v>
      </c>
      <c r="L7" s="377"/>
      <c r="M7" s="377"/>
      <c r="N7" s="377"/>
      <c r="O7" s="377"/>
      <c r="P7" s="377"/>
      <c r="Q7" s="377"/>
      <c r="R7" s="377"/>
      <c r="S7" s="377"/>
      <c r="T7" s="378"/>
      <c r="V7" s="311" t="s">
        <v>43</v>
      </c>
    </row>
    <row r="8" spans="2:26" ht="24.75" thickBot="1" x14ac:dyDescent="0.3">
      <c r="C8" s="392"/>
      <c r="D8" s="394"/>
      <c r="E8" s="394"/>
      <c r="F8" s="394"/>
      <c r="G8" s="396"/>
      <c r="H8" s="386"/>
      <c r="I8" s="388"/>
      <c r="J8" s="390"/>
      <c r="K8" s="119" t="s">
        <v>44</v>
      </c>
      <c r="L8" s="120" t="s">
        <v>45</v>
      </c>
      <c r="M8" s="120" t="s">
        <v>103</v>
      </c>
      <c r="N8" s="121" t="s">
        <v>46</v>
      </c>
      <c r="O8" s="121" t="s">
        <v>104</v>
      </c>
      <c r="P8" s="121" t="s">
        <v>47</v>
      </c>
      <c r="Q8" s="121" t="s">
        <v>48</v>
      </c>
      <c r="R8" s="121" t="s">
        <v>49</v>
      </c>
      <c r="S8" s="121" t="s">
        <v>50</v>
      </c>
      <c r="T8" s="122" t="s">
        <v>51</v>
      </c>
      <c r="V8" s="375"/>
    </row>
    <row r="9" spans="2:26" x14ac:dyDescent="0.25">
      <c r="B9" s="30">
        <v>1</v>
      </c>
      <c r="C9" s="137"/>
      <c r="D9" s="98"/>
      <c r="E9" s="98"/>
      <c r="F9" s="98"/>
      <c r="G9" s="98"/>
      <c r="H9" s="98"/>
      <c r="I9" s="99"/>
      <c r="J9" s="104"/>
      <c r="K9" s="123"/>
      <c r="L9" s="124"/>
      <c r="M9" s="124"/>
      <c r="N9" s="124"/>
      <c r="O9" s="124"/>
      <c r="P9" s="124"/>
      <c r="Q9" s="124"/>
      <c r="R9" s="124"/>
      <c r="S9" s="124"/>
      <c r="T9" s="125"/>
      <c r="V9" s="264"/>
      <c r="Y9" s="10" t="s">
        <v>15</v>
      </c>
      <c r="Z9" s="10">
        <f>'Resumen Ejecutivo'!S9</f>
        <v>0</v>
      </c>
    </row>
    <row r="10" spans="2:26" x14ac:dyDescent="0.25">
      <c r="B10" s="30">
        <v>2</v>
      </c>
      <c r="C10" s="100"/>
      <c r="D10" s="97"/>
      <c r="E10" s="97"/>
      <c r="F10" s="97"/>
      <c r="G10" s="97"/>
      <c r="H10" s="97"/>
      <c r="I10" s="67"/>
      <c r="J10" s="105"/>
      <c r="K10" s="48"/>
      <c r="L10" s="126"/>
      <c r="M10" s="126"/>
      <c r="N10" s="126"/>
      <c r="O10" s="126"/>
      <c r="P10" s="126"/>
      <c r="Q10" s="126"/>
      <c r="R10" s="126"/>
      <c r="S10" s="126"/>
      <c r="T10" s="127"/>
      <c r="V10" s="265"/>
      <c r="Y10" s="10" t="s">
        <v>16</v>
      </c>
      <c r="Z10" s="10">
        <f>'Resumen Ejecutivo'!S10</f>
        <v>0</v>
      </c>
    </row>
    <row r="11" spans="2:26" x14ac:dyDescent="0.25">
      <c r="B11" s="30">
        <v>3</v>
      </c>
      <c r="C11" s="100"/>
      <c r="D11" s="97"/>
      <c r="E11" s="97"/>
      <c r="F11" s="97"/>
      <c r="G11" s="97"/>
      <c r="H11" s="97"/>
      <c r="I11" s="67"/>
      <c r="J11" s="105"/>
      <c r="K11" s="48"/>
      <c r="L11" s="126"/>
      <c r="M11" s="126"/>
      <c r="N11" s="126"/>
      <c r="O11" s="126"/>
      <c r="P11" s="126"/>
      <c r="Q11" s="126"/>
      <c r="R11" s="126"/>
      <c r="S11" s="126"/>
      <c r="T11" s="127"/>
      <c r="V11" s="266"/>
      <c r="Y11" s="10" t="s">
        <v>57</v>
      </c>
      <c r="Z11" s="10">
        <f>'Resumen Ejecutivo'!S11</f>
        <v>64</v>
      </c>
    </row>
    <row r="12" spans="2:26" x14ac:dyDescent="0.25">
      <c r="B12" s="30">
        <v>4</v>
      </c>
      <c r="C12" s="100"/>
      <c r="D12" s="97"/>
      <c r="E12" s="97"/>
      <c r="F12" s="97"/>
      <c r="G12" s="97"/>
      <c r="H12" s="97"/>
      <c r="I12" s="67"/>
      <c r="J12" s="105"/>
      <c r="K12" s="48"/>
      <c r="L12" s="126"/>
      <c r="M12" s="126"/>
      <c r="N12" s="126"/>
      <c r="O12" s="126"/>
      <c r="P12" s="126"/>
      <c r="Q12" s="126"/>
      <c r="R12" s="126"/>
      <c r="S12" s="126"/>
      <c r="T12" s="127"/>
      <c r="V12" s="266"/>
    </row>
    <row r="13" spans="2:26" x14ac:dyDescent="0.25">
      <c r="B13" s="30">
        <v>14</v>
      </c>
      <c r="C13" s="100"/>
      <c r="D13" s="97"/>
      <c r="E13" s="97"/>
      <c r="F13" s="97"/>
      <c r="G13" s="97"/>
      <c r="H13" s="97"/>
      <c r="I13" s="67"/>
      <c r="J13" s="105"/>
      <c r="K13" s="48"/>
      <c r="L13" s="126"/>
      <c r="M13" s="126"/>
      <c r="N13" s="126"/>
      <c r="O13" s="126"/>
      <c r="P13" s="126"/>
      <c r="Q13" s="126"/>
      <c r="R13" s="126"/>
      <c r="S13" s="126"/>
      <c r="T13" s="127"/>
      <c r="V13" s="267"/>
    </row>
    <row r="14" spans="2:26" x14ac:dyDescent="0.25">
      <c r="B14" s="30">
        <v>15</v>
      </c>
      <c r="C14" s="100"/>
      <c r="D14" s="97"/>
      <c r="E14" s="97"/>
      <c r="F14" s="97"/>
      <c r="G14" s="97"/>
      <c r="H14" s="97"/>
      <c r="I14" s="67"/>
      <c r="J14" s="105"/>
      <c r="K14" s="48"/>
      <c r="L14" s="126"/>
      <c r="M14" s="126"/>
      <c r="N14" s="126"/>
      <c r="O14" s="126"/>
      <c r="P14" s="126"/>
      <c r="Q14" s="126"/>
      <c r="R14" s="126"/>
      <c r="S14" s="126"/>
      <c r="T14" s="127"/>
      <c r="V14" s="267"/>
    </row>
    <row r="15" spans="2:26" x14ac:dyDescent="0.25">
      <c r="B15" s="30">
        <v>16</v>
      </c>
      <c r="C15" s="100"/>
      <c r="D15" s="97"/>
      <c r="E15" s="97"/>
      <c r="F15" s="97"/>
      <c r="G15" s="97"/>
      <c r="H15" s="97"/>
      <c r="I15" s="67"/>
      <c r="J15" s="105"/>
      <c r="K15" s="48"/>
      <c r="L15" s="126"/>
      <c r="M15" s="126"/>
      <c r="N15" s="126"/>
      <c r="O15" s="126"/>
      <c r="P15" s="126"/>
      <c r="Q15" s="126"/>
      <c r="R15" s="126"/>
      <c r="S15" s="126"/>
      <c r="T15" s="127"/>
      <c r="V15" s="267"/>
    </row>
    <row r="16" spans="2:26" x14ac:dyDescent="0.25">
      <c r="B16" s="30">
        <v>17</v>
      </c>
      <c r="C16" s="130"/>
      <c r="D16" s="131"/>
      <c r="E16" s="131"/>
      <c r="F16" s="131"/>
      <c r="G16" s="131"/>
      <c r="H16" s="131"/>
      <c r="I16" s="132"/>
      <c r="J16" s="133"/>
      <c r="K16" s="134"/>
      <c r="L16" s="135"/>
      <c r="M16" s="135"/>
      <c r="N16" s="135"/>
      <c r="O16" s="135"/>
      <c r="P16" s="135"/>
      <c r="Q16" s="135"/>
      <c r="R16" s="135"/>
      <c r="S16" s="135"/>
      <c r="T16" s="136"/>
      <c r="V16" s="267"/>
    </row>
    <row r="17" spans="2:22" x14ac:dyDescent="0.25">
      <c r="B17" s="30">
        <v>18</v>
      </c>
      <c r="C17" s="130"/>
      <c r="D17" s="131"/>
      <c r="E17" s="131"/>
      <c r="F17" s="131"/>
      <c r="G17" s="131"/>
      <c r="H17" s="131"/>
      <c r="I17" s="132"/>
      <c r="J17" s="133"/>
      <c r="K17" s="134"/>
      <c r="L17" s="135"/>
      <c r="M17" s="135"/>
      <c r="N17" s="135"/>
      <c r="O17" s="135"/>
      <c r="P17" s="135"/>
      <c r="Q17" s="135"/>
      <c r="R17" s="135"/>
      <c r="S17" s="135"/>
      <c r="T17" s="136"/>
      <c r="V17" s="267"/>
    </row>
    <row r="18" spans="2:22" ht="14.25" thickBot="1" x14ac:dyDescent="0.3">
      <c r="B18" s="30">
        <v>19</v>
      </c>
      <c r="C18" s="101"/>
      <c r="D18" s="102"/>
      <c r="E18" s="102"/>
      <c r="F18" s="102"/>
      <c r="G18" s="102"/>
      <c r="H18" s="102"/>
      <c r="I18" s="103"/>
      <c r="J18" s="106"/>
      <c r="K18" s="49"/>
      <c r="L18" s="128"/>
      <c r="M18" s="128"/>
      <c r="N18" s="128"/>
      <c r="O18" s="128"/>
      <c r="P18" s="128"/>
      <c r="Q18" s="128"/>
      <c r="R18" s="128"/>
      <c r="S18" s="128"/>
      <c r="T18" s="129"/>
      <c r="V18" s="268"/>
    </row>
    <row r="19" spans="2:22" ht="14.25" thickBot="1" x14ac:dyDescent="0.3"/>
    <row r="20" spans="2:22" ht="14.25" thickBot="1" x14ac:dyDescent="0.3">
      <c r="C20" s="308" t="s">
        <v>19</v>
      </c>
      <c r="D20" s="357"/>
      <c r="E20" s="309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8"/>
    </row>
    <row r="21" spans="2:22" ht="13.5" customHeight="1" x14ac:dyDescent="0.25">
      <c r="C21" s="369" t="s">
        <v>20</v>
      </c>
      <c r="D21" s="111" t="s">
        <v>21</v>
      </c>
      <c r="E21" s="363" t="s">
        <v>22</v>
      </c>
      <c r="F21" s="372" t="s">
        <v>23</v>
      </c>
      <c r="G21" s="373"/>
      <c r="H21" s="373"/>
      <c r="I21" s="373"/>
      <c r="J21" s="374"/>
      <c r="K21" s="334" t="s">
        <v>65</v>
      </c>
      <c r="L21" s="269" t="s">
        <v>130</v>
      </c>
      <c r="M21" s="336" t="s">
        <v>374</v>
      </c>
      <c r="N21" s="337"/>
      <c r="O21" s="337"/>
      <c r="P21" s="337"/>
      <c r="Q21" s="337"/>
      <c r="R21" s="337"/>
      <c r="S21" s="337"/>
      <c r="T21" s="337"/>
      <c r="U21" s="337"/>
      <c r="V21" s="338"/>
    </row>
    <row r="22" spans="2:22" x14ac:dyDescent="0.25">
      <c r="C22" s="370"/>
      <c r="D22" s="112" t="s">
        <v>24</v>
      </c>
      <c r="E22" s="364"/>
      <c r="F22" s="348" t="s">
        <v>25</v>
      </c>
      <c r="G22" s="349"/>
      <c r="H22" s="349"/>
      <c r="I22" s="349"/>
      <c r="J22" s="350"/>
      <c r="K22" s="335"/>
      <c r="L22" s="270" t="s">
        <v>132</v>
      </c>
      <c r="M22" s="339" t="s">
        <v>375</v>
      </c>
      <c r="N22" s="340"/>
      <c r="O22" s="340"/>
      <c r="P22" s="340"/>
      <c r="Q22" s="340"/>
      <c r="R22" s="340"/>
      <c r="S22" s="340"/>
      <c r="T22" s="340"/>
      <c r="U22" s="340"/>
      <c r="V22" s="341"/>
    </row>
    <row r="23" spans="2:22" ht="14.25" thickBot="1" x14ac:dyDescent="0.3">
      <c r="C23" s="371"/>
      <c r="D23" s="113" t="s">
        <v>26</v>
      </c>
      <c r="E23" s="364"/>
      <c r="F23" s="348" t="s">
        <v>66</v>
      </c>
      <c r="G23" s="349"/>
      <c r="H23" s="349"/>
      <c r="I23" s="349"/>
      <c r="J23" s="350"/>
      <c r="K23" s="335"/>
      <c r="L23" s="271" t="s">
        <v>134</v>
      </c>
      <c r="M23" s="342" t="s">
        <v>376</v>
      </c>
      <c r="N23" s="343"/>
      <c r="O23" s="343"/>
      <c r="P23" s="343"/>
      <c r="Q23" s="343"/>
      <c r="R23" s="343"/>
      <c r="S23" s="343"/>
      <c r="T23" s="343"/>
      <c r="U23" s="343"/>
      <c r="V23" s="344"/>
    </row>
    <row r="24" spans="2:22" ht="13.5" customHeight="1" x14ac:dyDescent="0.25">
      <c r="C24" s="366" t="s">
        <v>67</v>
      </c>
      <c r="D24" s="115" t="s">
        <v>29</v>
      </c>
      <c r="E24" s="364"/>
      <c r="F24" s="348" t="s">
        <v>30</v>
      </c>
      <c r="G24" s="349"/>
      <c r="H24" s="349"/>
      <c r="I24" s="349"/>
      <c r="J24" s="350"/>
      <c r="K24" s="335"/>
      <c r="L24" s="272" t="s">
        <v>136</v>
      </c>
      <c r="M24" s="331" t="s">
        <v>377</v>
      </c>
      <c r="N24" s="332"/>
      <c r="O24" s="332"/>
      <c r="P24" s="332"/>
      <c r="Q24" s="332"/>
      <c r="R24" s="332"/>
      <c r="S24" s="332"/>
      <c r="T24" s="332"/>
      <c r="U24" s="332"/>
      <c r="V24" s="333"/>
    </row>
    <row r="25" spans="2:22" x14ac:dyDescent="0.25">
      <c r="C25" s="367"/>
      <c r="D25" s="116" t="s">
        <v>372</v>
      </c>
      <c r="E25" s="364"/>
      <c r="F25" s="348" t="s">
        <v>31</v>
      </c>
      <c r="G25" s="349"/>
      <c r="H25" s="349"/>
      <c r="I25" s="349"/>
      <c r="J25" s="350"/>
      <c r="K25" s="335"/>
      <c r="L25" s="272" t="s">
        <v>136</v>
      </c>
      <c r="M25" s="331" t="s">
        <v>378</v>
      </c>
      <c r="N25" s="332"/>
      <c r="O25" s="332"/>
      <c r="P25" s="332"/>
      <c r="Q25" s="332"/>
      <c r="R25" s="332"/>
      <c r="S25" s="332"/>
      <c r="T25" s="332"/>
      <c r="U25" s="332"/>
      <c r="V25" s="333"/>
    </row>
    <row r="26" spans="2:22" ht="14.25" thickBot="1" x14ac:dyDescent="0.3">
      <c r="C26" s="368"/>
      <c r="D26" s="117" t="s">
        <v>373</v>
      </c>
      <c r="E26" s="364"/>
      <c r="F26" s="348" t="s">
        <v>32</v>
      </c>
      <c r="G26" s="349"/>
      <c r="H26" s="349"/>
      <c r="I26" s="349"/>
      <c r="J26" s="350"/>
      <c r="K26" s="335"/>
      <c r="L26" s="273" t="s">
        <v>142</v>
      </c>
      <c r="M26" s="345" t="s">
        <v>379</v>
      </c>
      <c r="N26" s="346"/>
      <c r="O26" s="346"/>
      <c r="P26" s="346"/>
      <c r="Q26" s="346"/>
      <c r="R26" s="346"/>
      <c r="S26" s="346"/>
      <c r="T26" s="346"/>
      <c r="U26" s="346"/>
      <c r="V26" s="347"/>
    </row>
    <row r="27" spans="2:22" x14ac:dyDescent="0.25">
      <c r="C27" s="110" t="s">
        <v>33</v>
      </c>
      <c r="D27" s="114" t="s">
        <v>34</v>
      </c>
      <c r="E27" s="364"/>
      <c r="F27" s="348" t="s">
        <v>35</v>
      </c>
      <c r="G27" s="349"/>
      <c r="H27" s="349"/>
      <c r="I27" s="349"/>
      <c r="J27" s="350"/>
      <c r="K27" s="335"/>
      <c r="L27" s="274" t="s">
        <v>137</v>
      </c>
      <c r="M27" s="325" t="s">
        <v>380</v>
      </c>
      <c r="N27" s="326"/>
      <c r="O27" s="326"/>
      <c r="P27" s="326"/>
      <c r="Q27" s="326"/>
      <c r="R27" s="326"/>
      <c r="S27" s="326"/>
      <c r="T27" s="326"/>
      <c r="U27" s="326"/>
      <c r="V27" s="327"/>
    </row>
    <row r="28" spans="2:22" ht="14.25" thickBot="1" x14ac:dyDescent="0.3">
      <c r="C28" s="361" t="s">
        <v>36</v>
      </c>
      <c r="D28" s="359" t="s">
        <v>37</v>
      </c>
      <c r="E28" s="364"/>
      <c r="F28" s="351" t="s">
        <v>38</v>
      </c>
      <c r="G28" s="352"/>
      <c r="H28" s="352"/>
      <c r="I28" s="352"/>
      <c r="J28" s="353"/>
      <c r="K28" s="335"/>
      <c r="L28" s="275" t="s">
        <v>137</v>
      </c>
      <c r="M28" s="328" t="s">
        <v>381</v>
      </c>
      <c r="N28" s="329"/>
      <c r="O28" s="329"/>
      <c r="P28" s="329"/>
      <c r="Q28" s="329"/>
      <c r="R28" s="329"/>
      <c r="S28" s="329"/>
      <c r="T28" s="329"/>
      <c r="U28" s="329"/>
      <c r="V28" s="330"/>
    </row>
    <row r="29" spans="2:22" x14ac:dyDescent="0.25">
      <c r="C29" s="361"/>
      <c r="D29" s="359"/>
      <c r="E29" s="364"/>
      <c r="F29" s="351" t="s">
        <v>39</v>
      </c>
      <c r="G29" s="352"/>
      <c r="H29" s="352"/>
      <c r="I29" s="352"/>
      <c r="J29" s="353"/>
      <c r="V29" s="35"/>
    </row>
    <row r="30" spans="2:22" ht="14.25" thickBot="1" x14ac:dyDescent="0.3">
      <c r="C30" s="362"/>
      <c r="D30" s="360"/>
      <c r="E30" s="365"/>
      <c r="F30" s="354" t="s">
        <v>40</v>
      </c>
      <c r="G30" s="355"/>
      <c r="H30" s="355"/>
      <c r="I30" s="355"/>
      <c r="J30" s="35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36"/>
    </row>
    <row r="31" spans="2:22" x14ac:dyDescent="0.25">
      <c r="C31" s="2"/>
    </row>
    <row r="32" spans="2:22" x14ac:dyDescent="0.25">
      <c r="C32" s="2"/>
    </row>
    <row r="33" spans="3:4" x14ac:dyDescent="0.25">
      <c r="C33" s="2"/>
    </row>
    <row r="34" spans="3:4" x14ac:dyDescent="0.25">
      <c r="C34" s="2"/>
    </row>
    <row r="35" spans="3:4" x14ac:dyDescent="0.25">
      <c r="C35" s="2"/>
    </row>
    <row r="36" spans="3:4" x14ac:dyDescent="0.25">
      <c r="C36" s="51"/>
      <c r="D36" s="29"/>
    </row>
    <row r="37" spans="3:4" x14ac:dyDescent="0.25">
      <c r="C37" s="51"/>
      <c r="D37" s="29"/>
    </row>
    <row r="39" spans="3:4" x14ac:dyDescent="0.25">
      <c r="C39" s="2"/>
    </row>
    <row r="40" spans="3:4" x14ac:dyDescent="0.25">
      <c r="C40" s="2"/>
    </row>
    <row r="41" spans="3:4" x14ac:dyDescent="0.25">
      <c r="C41" s="2"/>
    </row>
    <row r="42" spans="3:4" x14ac:dyDescent="0.25">
      <c r="C42" s="2"/>
    </row>
  </sheetData>
  <mergeCells count="39">
    <mergeCell ref="C7:C8"/>
    <mergeCell ref="D7:D8"/>
    <mergeCell ref="E7:E8"/>
    <mergeCell ref="F7:F8"/>
    <mergeCell ref="G7:G8"/>
    <mergeCell ref="V7:V8"/>
    <mergeCell ref="K7:T7"/>
    <mergeCell ref="E2:U2"/>
    <mergeCell ref="E3:U3"/>
    <mergeCell ref="E4:U4"/>
    <mergeCell ref="E5:U5"/>
    <mergeCell ref="H7:H8"/>
    <mergeCell ref="I7:I8"/>
    <mergeCell ref="J7:J8"/>
    <mergeCell ref="F27:J27"/>
    <mergeCell ref="F28:J28"/>
    <mergeCell ref="F29:J29"/>
    <mergeCell ref="F30:J30"/>
    <mergeCell ref="C20:V20"/>
    <mergeCell ref="D28:D30"/>
    <mergeCell ref="C28:C30"/>
    <mergeCell ref="E21:E30"/>
    <mergeCell ref="C24:C26"/>
    <mergeCell ref="C21:C23"/>
    <mergeCell ref="F21:J21"/>
    <mergeCell ref="F22:J22"/>
    <mergeCell ref="F23:J23"/>
    <mergeCell ref="F24:J24"/>
    <mergeCell ref="F25:J25"/>
    <mergeCell ref="F26:J26"/>
    <mergeCell ref="M27:V27"/>
    <mergeCell ref="M28:V28"/>
    <mergeCell ref="M24:V24"/>
    <mergeCell ref="K21:K28"/>
    <mergeCell ref="M21:V21"/>
    <mergeCell ref="M22:V22"/>
    <mergeCell ref="M23:V23"/>
    <mergeCell ref="M25:V25"/>
    <mergeCell ref="M26:V26"/>
  </mergeCells>
  <printOptions horizontalCentered="1"/>
  <pageMargins left="0.19685039370078741" right="0.19685039370078741" top="0.39370078740157483" bottom="0.39370078740157483" header="0" footer="0"/>
  <pageSetup paperSize="5" scale="6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D696-1CA9-47C9-A516-5323E98E7393}">
  <sheetPr>
    <tabColor rgb="FF0070C0"/>
    <pageSetUpPr fitToPage="1"/>
  </sheetPr>
  <dimension ref="B1:AG120"/>
  <sheetViews>
    <sheetView tabSelected="1" zoomScale="70" zoomScaleNormal="70" zoomScaleSheetLayoutView="80" workbookViewId="0">
      <selection activeCell="B8" sqref="B8:B10"/>
    </sheetView>
  </sheetViews>
  <sheetFormatPr baseColWidth="10" defaultColWidth="11.42578125" defaultRowHeight="13.5" x14ac:dyDescent="0.25"/>
  <cols>
    <col min="1" max="1" width="2.42578125" style="2" customWidth="1"/>
    <col min="2" max="2" width="5.7109375" style="2" customWidth="1"/>
    <col min="3" max="3" width="17.7109375" style="3" customWidth="1"/>
    <col min="4" max="4" width="24.7109375" style="2" customWidth="1"/>
    <col min="5" max="5" width="18.42578125" style="2" customWidth="1"/>
    <col min="6" max="6" width="14.85546875" style="2" customWidth="1"/>
    <col min="7" max="10" width="12.7109375" style="2" customWidth="1"/>
    <col min="11" max="12" width="10.7109375" style="2" customWidth="1"/>
    <col min="13" max="13" width="13.28515625" style="2" customWidth="1"/>
    <col min="14" max="16" width="10.7109375" style="2" customWidth="1"/>
    <col min="17" max="28" width="11.42578125" style="2"/>
    <col min="29" max="29" width="2.7109375" style="2" customWidth="1"/>
    <col min="30" max="31" width="11.42578125" style="2"/>
    <col min="32" max="32" width="2.7109375" style="2" customWidth="1"/>
    <col min="33" max="33" width="13.140625" style="2" customWidth="1"/>
    <col min="34" max="34" width="2.7109375" style="2" customWidth="1"/>
    <col min="35" max="16384" width="11.42578125" style="2"/>
  </cols>
  <sheetData>
    <row r="1" spans="2:33" ht="14.25" thickBot="1" x14ac:dyDescent="0.3">
      <c r="N1" s="4"/>
    </row>
    <row r="2" spans="2:33" ht="18" customHeight="1" x14ac:dyDescent="0.25">
      <c r="B2" s="14"/>
      <c r="C2" s="15"/>
      <c r="D2" s="16"/>
      <c r="E2" s="16"/>
      <c r="F2" s="17"/>
      <c r="G2" s="18"/>
      <c r="H2" s="18"/>
      <c r="I2" s="18"/>
      <c r="J2" s="18"/>
      <c r="K2" s="18"/>
      <c r="L2" s="18"/>
      <c r="M2" s="19"/>
      <c r="N2" s="19"/>
      <c r="O2" s="18"/>
      <c r="P2" s="19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20" t="s">
        <v>68</v>
      </c>
      <c r="AC2" s="5"/>
      <c r="AD2" s="401" t="s">
        <v>362</v>
      </c>
      <c r="AE2" s="402"/>
      <c r="AF2" s="5"/>
      <c r="AG2" s="407">
        <f ca="1">TODAY()</f>
        <v>46322</v>
      </c>
    </row>
    <row r="3" spans="2:33" ht="18" customHeight="1" x14ac:dyDescent="0.25">
      <c r="B3" s="21"/>
      <c r="C3" s="9"/>
      <c r="D3" s="10"/>
      <c r="E3" s="10"/>
      <c r="F3" s="12"/>
      <c r="G3" s="12"/>
      <c r="H3" s="12"/>
      <c r="I3" s="12"/>
      <c r="J3" s="12"/>
      <c r="K3" s="5"/>
      <c r="L3" s="5"/>
      <c r="O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22" t="s">
        <v>69</v>
      </c>
      <c r="AC3" s="5"/>
      <c r="AD3" s="403"/>
      <c r="AE3" s="404"/>
      <c r="AF3" s="5"/>
      <c r="AG3" s="408"/>
    </row>
    <row r="4" spans="2:33" ht="18" customHeight="1" x14ac:dyDescent="0.25">
      <c r="B4" s="21"/>
      <c r="C4" s="11"/>
      <c r="D4" s="10"/>
      <c r="E4" s="10"/>
      <c r="F4" s="12"/>
      <c r="G4" s="12"/>
      <c r="H4" s="12"/>
      <c r="I4" s="12"/>
      <c r="J4" s="12"/>
      <c r="K4" s="5"/>
      <c r="L4" s="5"/>
      <c r="O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23" t="s">
        <v>70</v>
      </c>
      <c r="AC4" s="5"/>
      <c r="AD4" s="403"/>
      <c r="AE4" s="404"/>
      <c r="AF4" s="5"/>
      <c r="AG4" s="408"/>
    </row>
    <row r="5" spans="2:33" ht="14.25" customHeight="1" x14ac:dyDescent="0.25">
      <c r="B5" s="21"/>
      <c r="C5" s="11"/>
      <c r="D5" s="9"/>
      <c r="E5" s="9"/>
      <c r="F5" s="12"/>
      <c r="G5" s="397" t="s">
        <v>361</v>
      </c>
      <c r="H5" s="397"/>
      <c r="I5" s="397"/>
      <c r="J5" s="397"/>
      <c r="K5" s="397"/>
      <c r="L5" s="397"/>
      <c r="M5" s="397"/>
      <c r="N5" s="397"/>
      <c r="O5" s="397"/>
      <c r="P5" s="397"/>
      <c r="Q5" s="397"/>
      <c r="R5" s="397"/>
      <c r="S5" s="397"/>
      <c r="T5" s="397"/>
      <c r="U5" s="397"/>
      <c r="V5" s="397"/>
      <c r="W5" s="397"/>
      <c r="X5" s="397"/>
      <c r="Y5" s="397"/>
      <c r="Z5" s="397"/>
      <c r="AA5" s="397"/>
      <c r="AB5" s="398"/>
      <c r="AC5" s="5"/>
      <c r="AD5" s="403"/>
      <c r="AE5" s="404"/>
      <c r="AF5" s="13"/>
      <c r="AG5" s="408"/>
    </row>
    <row r="6" spans="2:33" ht="28.5" customHeight="1" thickBot="1" x14ac:dyDescent="0.3">
      <c r="B6" s="24"/>
      <c r="C6" s="25"/>
      <c r="D6" s="26"/>
      <c r="E6" s="26"/>
      <c r="F6" s="26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400"/>
      <c r="AC6" s="5"/>
      <c r="AD6" s="405"/>
      <c r="AE6" s="406"/>
      <c r="AF6" s="13"/>
      <c r="AG6" s="409"/>
    </row>
    <row r="7" spans="2:33" ht="11.25" customHeight="1" thickBot="1" x14ac:dyDescent="0.3"/>
    <row r="8" spans="2:33" ht="19.5" customHeight="1" x14ac:dyDescent="0.25">
      <c r="B8" s="444" t="s">
        <v>71</v>
      </c>
      <c r="C8" s="446" t="s">
        <v>2</v>
      </c>
      <c r="D8" s="446" t="s">
        <v>3</v>
      </c>
      <c r="E8" s="446" t="s">
        <v>4</v>
      </c>
      <c r="F8" s="446" t="s">
        <v>335</v>
      </c>
      <c r="G8" s="448" t="s">
        <v>72</v>
      </c>
      <c r="H8" s="459" t="s">
        <v>7</v>
      </c>
      <c r="I8" s="461" t="s">
        <v>73</v>
      </c>
      <c r="J8" s="463" t="s">
        <v>9</v>
      </c>
      <c r="K8" s="453" t="s">
        <v>74</v>
      </c>
      <c r="L8" s="454"/>
      <c r="M8" s="457" t="s">
        <v>75</v>
      </c>
      <c r="N8" s="450" t="s">
        <v>76</v>
      </c>
      <c r="O8" s="451"/>
      <c r="P8" s="451"/>
      <c r="Q8" s="452"/>
      <c r="R8" s="436" t="s">
        <v>77</v>
      </c>
      <c r="S8" s="437"/>
      <c r="T8" s="438"/>
      <c r="U8" s="450" t="s">
        <v>78</v>
      </c>
      <c r="V8" s="451"/>
      <c r="W8" s="451"/>
      <c r="X8" s="451"/>
      <c r="Y8" s="451"/>
      <c r="Z8" s="451"/>
      <c r="AA8" s="451"/>
      <c r="AB8" s="452"/>
      <c r="AD8" s="430" t="s">
        <v>79</v>
      </c>
      <c r="AE8" s="432" t="s">
        <v>80</v>
      </c>
      <c r="AG8" s="434" t="s">
        <v>81</v>
      </c>
    </row>
    <row r="9" spans="2:33" ht="19.5" customHeight="1" x14ac:dyDescent="0.25">
      <c r="B9" s="445"/>
      <c r="C9" s="447"/>
      <c r="D9" s="447"/>
      <c r="E9" s="447"/>
      <c r="F9" s="447"/>
      <c r="G9" s="449"/>
      <c r="H9" s="460"/>
      <c r="I9" s="462"/>
      <c r="J9" s="464"/>
      <c r="K9" s="455"/>
      <c r="L9" s="456"/>
      <c r="M9" s="458"/>
      <c r="N9" s="441" t="s">
        <v>82</v>
      </c>
      <c r="O9" s="428"/>
      <c r="P9" s="428" t="s">
        <v>46</v>
      </c>
      <c r="Q9" s="429"/>
      <c r="R9" s="442" t="s">
        <v>83</v>
      </c>
      <c r="S9" s="443"/>
      <c r="T9" s="439" t="s">
        <v>47</v>
      </c>
      <c r="U9" s="441" t="s">
        <v>49</v>
      </c>
      <c r="V9" s="428"/>
      <c r="W9" s="428" t="s">
        <v>48</v>
      </c>
      <c r="X9" s="428"/>
      <c r="Y9" s="428" t="s">
        <v>50</v>
      </c>
      <c r="Z9" s="428"/>
      <c r="AA9" s="428" t="s">
        <v>51</v>
      </c>
      <c r="AB9" s="429"/>
      <c r="AD9" s="431"/>
      <c r="AE9" s="433"/>
      <c r="AG9" s="435"/>
    </row>
    <row r="10" spans="2:33" ht="19.5" customHeight="1" thickBot="1" x14ac:dyDescent="0.3">
      <c r="B10" s="445"/>
      <c r="C10" s="447"/>
      <c r="D10" s="447"/>
      <c r="E10" s="447"/>
      <c r="F10" s="447"/>
      <c r="G10" s="449"/>
      <c r="H10" s="460"/>
      <c r="I10" s="462"/>
      <c r="J10" s="464"/>
      <c r="K10" s="192" t="s">
        <v>12</v>
      </c>
      <c r="L10" s="193" t="s">
        <v>13</v>
      </c>
      <c r="M10" s="458"/>
      <c r="N10" s="192" t="s">
        <v>12</v>
      </c>
      <c r="O10" s="194" t="s">
        <v>13</v>
      </c>
      <c r="P10" s="195" t="s">
        <v>12</v>
      </c>
      <c r="Q10" s="193" t="s">
        <v>13</v>
      </c>
      <c r="R10" s="196" t="s">
        <v>12</v>
      </c>
      <c r="S10" s="197" t="s">
        <v>13</v>
      </c>
      <c r="T10" s="440"/>
      <c r="U10" s="192" t="s">
        <v>12</v>
      </c>
      <c r="V10" s="194" t="s">
        <v>13</v>
      </c>
      <c r="W10" s="195" t="s">
        <v>12</v>
      </c>
      <c r="X10" s="194" t="s">
        <v>13</v>
      </c>
      <c r="Y10" s="195" t="s">
        <v>12</v>
      </c>
      <c r="Z10" s="194" t="s">
        <v>13</v>
      </c>
      <c r="AA10" s="195" t="s">
        <v>12</v>
      </c>
      <c r="AB10" s="193" t="s">
        <v>13</v>
      </c>
      <c r="AD10" s="431"/>
      <c r="AE10" s="433"/>
      <c r="AG10" s="435"/>
    </row>
    <row r="11" spans="2:33" ht="30" customHeight="1" x14ac:dyDescent="0.25">
      <c r="B11" s="206">
        <v>1</v>
      </c>
      <c r="C11" s="207" t="s">
        <v>158</v>
      </c>
      <c r="D11" s="210" t="s">
        <v>263</v>
      </c>
      <c r="E11" s="207" t="s">
        <v>285</v>
      </c>
      <c r="F11" s="208" t="s">
        <v>52</v>
      </c>
      <c r="G11" s="209" t="s">
        <v>330</v>
      </c>
      <c r="H11" s="222">
        <v>38</v>
      </c>
      <c r="I11" s="211" t="s">
        <v>360</v>
      </c>
      <c r="J11" s="225" t="s">
        <v>360</v>
      </c>
      <c r="K11" s="92">
        <v>0</v>
      </c>
      <c r="L11" s="213">
        <v>0</v>
      </c>
      <c r="M11" s="231">
        <v>0</v>
      </c>
      <c r="N11" s="92">
        <v>0</v>
      </c>
      <c r="O11" s="213">
        <v>0</v>
      </c>
      <c r="P11" s="228">
        <v>0</v>
      </c>
      <c r="Q11" s="213">
        <v>0</v>
      </c>
      <c r="R11" s="92">
        <v>0</v>
      </c>
      <c r="S11" s="212">
        <v>0</v>
      </c>
      <c r="T11" s="213">
        <v>0</v>
      </c>
      <c r="U11" s="92">
        <v>0</v>
      </c>
      <c r="V11" s="213">
        <v>0</v>
      </c>
      <c r="W11" s="92">
        <v>0</v>
      </c>
      <c r="X11" s="213">
        <v>0</v>
      </c>
      <c r="Y11" s="92">
        <v>0</v>
      </c>
      <c r="Z11" s="213">
        <v>0</v>
      </c>
      <c r="AA11" s="228">
        <v>0</v>
      </c>
      <c r="AB11" s="213">
        <v>0</v>
      </c>
      <c r="AC11" s="1"/>
      <c r="AD11" s="236">
        <f t="shared" ref="AD11:AD42" si="0">+(K11*$K$76)+(M11*$M$76)+(N11*$N$76)+(P11*$P$76)+(R11*$R$76)+(T11*$T$76)+(U11*$U$76)+(W11*$W$76)+(Y11*$Y$76)+(AA11*$AA$76)</f>
        <v>0</v>
      </c>
      <c r="AE11" s="237">
        <f t="shared" ref="AE11:AE42" si="1">+(L11*$K$76)+(M11*$M$76)+(O11*$N$76)+(Q11*$P$76)+(S11*$R$76)+(T11*$T$76)+(V11*$U$76)+(X11*$W$76)+(Z11*$Y$76)+(AB11*$AA$76)</f>
        <v>0</v>
      </c>
      <c r="AF11" s="1"/>
      <c r="AG11" s="220">
        <f t="shared" ref="AG11:AG42" si="2">+(AD11*$AD$76)+(AE11*$AE$76)</f>
        <v>0</v>
      </c>
    </row>
    <row r="12" spans="2:33" ht="30" customHeight="1" x14ac:dyDescent="0.25">
      <c r="B12" s="214">
        <v>2</v>
      </c>
      <c r="C12" s="201" t="s">
        <v>159</v>
      </c>
      <c r="D12" s="203" t="s">
        <v>257</v>
      </c>
      <c r="E12" s="201" t="s">
        <v>90</v>
      </c>
      <c r="F12" s="202" t="s">
        <v>52</v>
      </c>
      <c r="G12" s="200" t="s">
        <v>330</v>
      </c>
      <c r="H12" s="223">
        <v>215</v>
      </c>
      <c r="I12" s="93" t="s">
        <v>360</v>
      </c>
      <c r="J12" s="226" t="s">
        <v>360</v>
      </c>
      <c r="K12" s="94">
        <v>0</v>
      </c>
      <c r="L12" s="95">
        <v>0</v>
      </c>
      <c r="M12" s="232">
        <v>0</v>
      </c>
      <c r="N12" s="94">
        <v>0</v>
      </c>
      <c r="O12" s="95">
        <v>0</v>
      </c>
      <c r="P12" s="229">
        <v>0</v>
      </c>
      <c r="Q12" s="95">
        <v>0</v>
      </c>
      <c r="R12" s="94">
        <v>0</v>
      </c>
      <c r="S12" s="204">
        <v>0</v>
      </c>
      <c r="T12" s="95">
        <v>0</v>
      </c>
      <c r="U12" s="94">
        <v>0</v>
      </c>
      <c r="V12" s="95">
        <v>0</v>
      </c>
      <c r="W12" s="94">
        <v>0</v>
      </c>
      <c r="X12" s="95">
        <v>0</v>
      </c>
      <c r="Y12" s="94">
        <v>0</v>
      </c>
      <c r="Z12" s="95">
        <v>0</v>
      </c>
      <c r="AA12" s="229">
        <v>0</v>
      </c>
      <c r="AB12" s="95">
        <v>0</v>
      </c>
      <c r="AC12" s="1"/>
      <c r="AD12" s="238">
        <f t="shared" si="0"/>
        <v>0</v>
      </c>
      <c r="AE12" s="239">
        <f t="shared" si="1"/>
        <v>0</v>
      </c>
      <c r="AF12" s="1"/>
      <c r="AG12" s="96">
        <f t="shared" si="2"/>
        <v>0</v>
      </c>
    </row>
    <row r="13" spans="2:33" ht="30" customHeight="1" x14ac:dyDescent="0.25">
      <c r="B13" s="214">
        <v>3</v>
      </c>
      <c r="C13" s="201" t="s">
        <v>159</v>
      </c>
      <c r="D13" s="203" t="s">
        <v>258</v>
      </c>
      <c r="E13" s="201" t="s">
        <v>284</v>
      </c>
      <c r="F13" s="202" t="s">
        <v>52</v>
      </c>
      <c r="G13" s="200" t="s">
        <v>330</v>
      </c>
      <c r="H13" s="223">
        <v>120</v>
      </c>
      <c r="I13" s="93" t="s">
        <v>360</v>
      </c>
      <c r="J13" s="226" t="s">
        <v>360</v>
      </c>
      <c r="K13" s="94">
        <v>0</v>
      </c>
      <c r="L13" s="95">
        <v>0</v>
      </c>
      <c r="M13" s="232">
        <v>0</v>
      </c>
      <c r="N13" s="94">
        <v>0</v>
      </c>
      <c r="O13" s="95">
        <v>0</v>
      </c>
      <c r="P13" s="229">
        <v>0</v>
      </c>
      <c r="Q13" s="95">
        <v>0</v>
      </c>
      <c r="R13" s="94">
        <v>0</v>
      </c>
      <c r="S13" s="204">
        <v>0</v>
      </c>
      <c r="T13" s="95">
        <v>0</v>
      </c>
      <c r="U13" s="94">
        <v>0</v>
      </c>
      <c r="V13" s="95">
        <v>0</v>
      </c>
      <c r="W13" s="94">
        <v>0</v>
      </c>
      <c r="X13" s="95">
        <v>0</v>
      </c>
      <c r="Y13" s="94">
        <v>0</v>
      </c>
      <c r="Z13" s="95">
        <v>0</v>
      </c>
      <c r="AA13" s="229">
        <v>0</v>
      </c>
      <c r="AB13" s="95">
        <v>0</v>
      </c>
      <c r="AC13" s="1"/>
      <c r="AD13" s="238">
        <f t="shared" si="0"/>
        <v>0</v>
      </c>
      <c r="AE13" s="239">
        <f t="shared" si="1"/>
        <v>0</v>
      </c>
      <c r="AF13" s="1"/>
      <c r="AG13" s="96">
        <f t="shared" si="2"/>
        <v>0</v>
      </c>
    </row>
    <row r="14" spans="2:33" ht="30" customHeight="1" x14ac:dyDescent="0.25">
      <c r="B14" s="214">
        <v>4</v>
      </c>
      <c r="C14" s="201" t="s">
        <v>159</v>
      </c>
      <c r="D14" s="203" t="s">
        <v>259</v>
      </c>
      <c r="E14" s="201" t="s">
        <v>88</v>
      </c>
      <c r="F14" s="202" t="s">
        <v>62</v>
      </c>
      <c r="G14" s="200" t="s">
        <v>330</v>
      </c>
      <c r="H14" s="223">
        <v>100</v>
      </c>
      <c r="I14" s="93" t="s">
        <v>360</v>
      </c>
      <c r="J14" s="226" t="s">
        <v>360</v>
      </c>
      <c r="K14" s="94">
        <v>0</v>
      </c>
      <c r="L14" s="95">
        <v>0</v>
      </c>
      <c r="M14" s="232">
        <v>0</v>
      </c>
      <c r="N14" s="94">
        <v>0</v>
      </c>
      <c r="O14" s="95">
        <v>0</v>
      </c>
      <c r="P14" s="229">
        <v>0</v>
      </c>
      <c r="Q14" s="95">
        <v>0</v>
      </c>
      <c r="R14" s="94">
        <v>0</v>
      </c>
      <c r="S14" s="204">
        <v>0</v>
      </c>
      <c r="T14" s="95">
        <v>0</v>
      </c>
      <c r="U14" s="94">
        <v>0</v>
      </c>
      <c r="V14" s="95">
        <v>0</v>
      </c>
      <c r="W14" s="94">
        <v>0</v>
      </c>
      <c r="X14" s="95">
        <v>0</v>
      </c>
      <c r="Y14" s="94">
        <v>0</v>
      </c>
      <c r="Z14" s="95">
        <v>0</v>
      </c>
      <c r="AA14" s="229">
        <v>0</v>
      </c>
      <c r="AB14" s="95">
        <v>0</v>
      </c>
      <c r="AC14" s="1"/>
      <c r="AD14" s="238">
        <f t="shared" si="0"/>
        <v>0</v>
      </c>
      <c r="AE14" s="239">
        <f t="shared" si="1"/>
        <v>0</v>
      </c>
      <c r="AF14" s="1"/>
      <c r="AG14" s="96">
        <f t="shared" si="2"/>
        <v>0</v>
      </c>
    </row>
    <row r="15" spans="2:33" ht="30" customHeight="1" x14ac:dyDescent="0.25">
      <c r="B15" s="214">
        <v>5</v>
      </c>
      <c r="C15" s="201" t="s">
        <v>187</v>
      </c>
      <c r="D15" s="203" t="s">
        <v>243</v>
      </c>
      <c r="E15" s="201" t="s">
        <v>90</v>
      </c>
      <c r="F15" s="202" t="s">
        <v>52</v>
      </c>
      <c r="G15" s="200" t="s">
        <v>330</v>
      </c>
      <c r="H15" s="223">
        <v>132</v>
      </c>
      <c r="I15" s="93" t="s">
        <v>360</v>
      </c>
      <c r="J15" s="226" t="s">
        <v>360</v>
      </c>
      <c r="K15" s="94">
        <v>0</v>
      </c>
      <c r="L15" s="95">
        <v>0</v>
      </c>
      <c r="M15" s="232">
        <v>0</v>
      </c>
      <c r="N15" s="94">
        <v>0</v>
      </c>
      <c r="O15" s="95">
        <v>0</v>
      </c>
      <c r="P15" s="229">
        <v>0</v>
      </c>
      <c r="Q15" s="95">
        <v>0</v>
      </c>
      <c r="R15" s="94">
        <v>0</v>
      </c>
      <c r="S15" s="204">
        <v>0</v>
      </c>
      <c r="T15" s="95">
        <v>0</v>
      </c>
      <c r="U15" s="94">
        <v>0</v>
      </c>
      <c r="V15" s="95">
        <v>0</v>
      </c>
      <c r="W15" s="94">
        <v>0</v>
      </c>
      <c r="X15" s="95">
        <v>0</v>
      </c>
      <c r="Y15" s="94">
        <v>0</v>
      </c>
      <c r="Z15" s="95">
        <v>0</v>
      </c>
      <c r="AA15" s="229">
        <v>0</v>
      </c>
      <c r="AB15" s="95">
        <v>0</v>
      </c>
      <c r="AC15" s="1"/>
      <c r="AD15" s="238">
        <f t="shared" si="0"/>
        <v>0</v>
      </c>
      <c r="AE15" s="239">
        <f t="shared" si="1"/>
        <v>0</v>
      </c>
      <c r="AF15" s="1"/>
      <c r="AG15" s="96">
        <f t="shared" si="2"/>
        <v>0</v>
      </c>
    </row>
    <row r="16" spans="2:33" ht="30" customHeight="1" x14ac:dyDescent="0.25">
      <c r="B16" s="214">
        <v>6</v>
      </c>
      <c r="C16" s="201" t="s">
        <v>160</v>
      </c>
      <c r="D16" s="203" t="s">
        <v>225</v>
      </c>
      <c r="E16" s="205" t="s">
        <v>283</v>
      </c>
      <c r="F16" s="202" t="s">
        <v>52</v>
      </c>
      <c r="G16" s="200" t="s">
        <v>330</v>
      </c>
      <c r="H16" s="223">
        <v>100</v>
      </c>
      <c r="I16" s="93" t="s">
        <v>360</v>
      </c>
      <c r="J16" s="226" t="s">
        <v>360</v>
      </c>
      <c r="K16" s="94">
        <v>0</v>
      </c>
      <c r="L16" s="95">
        <v>0</v>
      </c>
      <c r="M16" s="232">
        <v>0</v>
      </c>
      <c r="N16" s="94">
        <v>0</v>
      </c>
      <c r="O16" s="95">
        <v>0</v>
      </c>
      <c r="P16" s="229">
        <v>0</v>
      </c>
      <c r="Q16" s="95">
        <v>0</v>
      </c>
      <c r="R16" s="94">
        <v>0</v>
      </c>
      <c r="S16" s="204">
        <v>0</v>
      </c>
      <c r="T16" s="95">
        <v>0</v>
      </c>
      <c r="U16" s="94">
        <v>0</v>
      </c>
      <c r="V16" s="95">
        <v>0</v>
      </c>
      <c r="W16" s="94">
        <v>0</v>
      </c>
      <c r="X16" s="95">
        <v>0</v>
      </c>
      <c r="Y16" s="94">
        <v>0</v>
      </c>
      <c r="Z16" s="95">
        <v>0</v>
      </c>
      <c r="AA16" s="229">
        <v>0</v>
      </c>
      <c r="AB16" s="95">
        <v>0</v>
      </c>
      <c r="AC16" s="1"/>
      <c r="AD16" s="238">
        <f t="shared" si="0"/>
        <v>0</v>
      </c>
      <c r="AE16" s="239">
        <f t="shared" si="1"/>
        <v>0</v>
      </c>
      <c r="AF16" s="1"/>
      <c r="AG16" s="96">
        <f t="shared" si="2"/>
        <v>0</v>
      </c>
    </row>
    <row r="17" spans="2:33" ht="30" customHeight="1" x14ac:dyDescent="0.25">
      <c r="B17" s="214">
        <v>7</v>
      </c>
      <c r="C17" s="201" t="s">
        <v>161</v>
      </c>
      <c r="D17" s="203" t="s">
        <v>224</v>
      </c>
      <c r="E17" s="201" t="s">
        <v>286</v>
      </c>
      <c r="F17" s="202" t="s">
        <v>58</v>
      </c>
      <c r="G17" s="200" t="s">
        <v>330</v>
      </c>
      <c r="H17" s="223">
        <v>36.58</v>
      </c>
      <c r="I17" s="93" t="s">
        <v>360</v>
      </c>
      <c r="J17" s="226" t="s">
        <v>360</v>
      </c>
      <c r="K17" s="94">
        <v>0</v>
      </c>
      <c r="L17" s="95">
        <v>0</v>
      </c>
      <c r="M17" s="232">
        <v>0</v>
      </c>
      <c r="N17" s="94">
        <v>0</v>
      </c>
      <c r="O17" s="95">
        <v>0</v>
      </c>
      <c r="P17" s="229">
        <v>0</v>
      </c>
      <c r="Q17" s="95">
        <v>0</v>
      </c>
      <c r="R17" s="94">
        <v>0</v>
      </c>
      <c r="S17" s="204">
        <v>0</v>
      </c>
      <c r="T17" s="95">
        <v>0</v>
      </c>
      <c r="U17" s="94">
        <v>0</v>
      </c>
      <c r="V17" s="95">
        <v>0</v>
      </c>
      <c r="W17" s="94">
        <v>0</v>
      </c>
      <c r="X17" s="95">
        <v>0</v>
      </c>
      <c r="Y17" s="94">
        <v>0</v>
      </c>
      <c r="Z17" s="95">
        <v>0</v>
      </c>
      <c r="AA17" s="229">
        <v>0</v>
      </c>
      <c r="AB17" s="95">
        <v>0</v>
      </c>
      <c r="AC17" s="1"/>
      <c r="AD17" s="238">
        <f t="shared" si="0"/>
        <v>0</v>
      </c>
      <c r="AE17" s="239">
        <f t="shared" si="1"/>
        <v>0</v>
      </c>
      <c r="AF17" s="1"/>
      <c r="AG17" s="96">
        <f t="shared" si="2"/>
        <v>0</v>
      </c>
    </row>
    <row r="18" spans="2:33" ht="30" customHeight="1" x14ac:dyDescent="0.25">
      <c r="B18" s="214">
        <v>8</v>
      </c>
      <c r="C18" s="201" t="s">
        <v>162</v>
      </c>
      <c r="D18" s="203" t="s">
        <v>229</v>
      </c>
      <c r="E18" s="201" t="s">
        <v>229</v>
      </c>
      <c r="F18" s="202" t="s">
        <v>58</v>
      </c>
      <c r="G18" s="200" t="s">
        <v>330</v>
      </c>
      <c r="H18" s="223">
        <v>50</v>
      </c>
      <c r="I18" s="93" t="s">
        <v>360</v>
      </c>
      <c r="J18" s="226" t="s">
        <v>360</v>
      </c>
      <c r="K18" s="94">
        <v>0</v>
      </c>
      <c r="L18" s="95">
        <v>0</v>
      </c>
      <c r="M18" s="232">
        <v>0</v>
      </c>
      <c r="N18" s="94">
        <v>0</v>
      </c>
      <c r="O18" s="95">
        <v>0</v>
      </c>
      <c r="P18" s="229">
        <v>0</v>
      </c>
      <c r="Q18" s="95">
        <v>0</v>
      </c>
      <c r="R18" s="94">
        <v>0</v>
      </c>
      <c r="S18" s="204">
        <v>0</v>
      </c>
      <c r="T18" s="95">
        <v>0</v>
      </c>
      <c r="U18" s="94">
        <v>0</v>
      </c>
      <c r="V18" s="95">
        <v>0</v>
      </c>
      <c r="W18" s="94">
        <v>0</v>
      </c>
      <c r="X18" s="95">
        <v>0</v>
      </c>
      <c r="Y18" s="94">
        <v>0</v>
      </c>
      <c r="Z18" s="95">
        <v>0</v>
      </c>
      <c r="AA18" s="229">
        <v>0</v>
      </c>
      <c r="AB18" s="95">
        <v>0</v>
      </c>
      <c r="AC18" s="1"/>
      <c r="AD18" s="238">
        <f t="shared" si="0"/>
        <v>0</v>
      </c>
      <c r="AE18" s="239">
        <f t="shared" si="1"/>
        <v>0</v>
      </c>
      <c r="AF18" s="1"/>
      <c r="AG18" s="96">
        <f t="shared" si="2"/>
        <v>0</v>
      </c>
    </row>
    <row r="19" spans="2:33" ht="30" customHeight="1" x14ac:dyDescent="0.25">
      <c r="B19" s="214">
        <v>9</v>
      </c>
      <c r="C19" s="201" t="s">
        <v>158</v>
      </c>
      <c r="D19" s="203" t="s">
        <v>230</v>
      </c>
      <c r="E19" s="201" t="s">
        <v>229</v>
      </c>
      <c r="F19" s="202" t="s">
        <v>58</v>
      </c>
      <c r="G19" s="200" t="s">
        <v>330</v>
      </c>
      <c r="H19" s="223">
        <v>30</v>
      </c>
      <c r="I19" s="93" t="s">
        <v>360</v>
      </c>
      <c r="J19" s="226" t="s">
        <v>360</v>
      </c>
      <c r="K19" s="94">
        <v>0</v>
      </c>
      <c r="L19" s="95">
        <v>0</v>
      </c>
      <c r="M19" s="232">
        <v>0</v>
      </c>
      <c r="N19" s="94">
        <v>0</v>
      </c>
      <c r="O19" s="95">
        <v>0</v>
      </c>
      <c r="P19" s="229">
        <v>0</v>
      </c>
      <c r="Q19" s="95">
        <v>0</v>
      </c>
      <c r="R19" s="94">
        <v>0</v>
      </c>
      <c r="S19" s="204">
        <v>0</v>
      </c>
      <c r="T19" s="95">
        <v>0</v>
      </c>
      <c r="U19" s="94">
        <v>0</v>
      </c>
      <c r="V19" s="95">
        <v>0</v>
      </c>
      <c r="W19" s="94">
        <v>0</v>
      </c>
      <c r="X19" s="95">
        <v>0</v>
      </c>
      <c r="Y19" s="94">
        <v>0</v>
      </c>
      <c r="Z19" s="95">
        <v>0</v>
      </c>
      <c r="AA19" s="229">
        <v>0</v>
      </c>
      <c r="AB19" s="95">
        <v>0</v>
      </c>
      <c r="AC19" s="1"/>
      <c r="AD19" s="238">
        <f t="shared" si="0"/>
        <v>0</v>
      </c>
      <c r="AE19" s="239">
        <f t="shared" si="1"/>
        <v>0</v>
      </c>
      <c r="AF19" s="1"/>
      <c r="AG19" s="96">
        <f t="shared" si="2"/>
        <v>0</v>
      </c>
    </row>
    <row r="20" spans="2:33" ht="30" customHeight="1" x14ac:dyDescent="0.25">
      <c r="B20" s="214">
        <v>10</v>
      </c>
      <c r="C20" s="201" t="s">
        <v>182</v>
      </c>
      <c r="D20" s="203" t="s">
        <v>247</v>
      </c>
      <c r="E20" s="201" t="s">
        <v>87</v>
      </c>
      <c r="F20" s="202" t="s">
        <v>58</v>
      </c>
      <c r="G20" s="200" t="s">
        <v>330</v>
      </c>
      <c r="H20" s="223">
        <v>30</v>
      </c>
      <c r="I20" s="93" t="s">
        <v>360</v>
      </c>
      <c r="J20" s="226" t="s">
        <v>360</v>
      </c>
      <c r="K20" s="94">
        <v>0</v>
      </c>
      <c r="L20" s="95">
        <v>0</v>
      </c>
      <c r="M20" s="232">
        <v>0</v>
      </c>
      <c r="N20" s="94">
        <v>0</v>
      </c>
      <c r="O20" s="95">
        <v>0</v>
      </c>
      <c r="P20" s="229">
        <v>0</v>
      </c>
      <c r="Q20" s="95">
        <v>0</v>
      </c>
      <c r="R20" s="94">
        <v>0</v>
      </c>
      <c r="S20" s="204">
        <v>0</v>
      </c>
      <c r="T20" s="95">
        <v>0</v>
      </c>
      <c r="U20" s="94">
        <v>0</v>
      </c>
      <c r="V20" s="95">
        <v>0</v>
      </c>
      <c r="W20" s="94">
        <v>0</v>
      </c>
      <c r="X20" s="95">
        <v>0</v>
      </c>
      <c r="Y20" s="94">
        <v>0</v>
      </c>
      <c r="Z20" s="95">
        <v>0</v>
      </c>
      <c r="AA20" s="229">
        <v>0</v>
      </c>
      <c r="AB20" s="95">
        <v>0</v>
      </c>
      <c r="AC20" s="1"/>
      <c r="AD20" s="238">
        <f t="shared" si="0"/>
        <v>0</v>
      </c>
      <c r="AE20" s="239">
        <f t="shared" si="1"/>
        <v>0</v>
      </c>
      <c r="AF20" s="1"/>
      <c r="AG20" s="96">
        <f t="shared" si="2"/>
        <v>0</v>
      </c>
    </row>
    <row r="21" spans="2:33" ht="30" customHeight="1" x14ac:dyDescent="0.25">
      <c r="B21" s="214">
        <v>11</v>
      </c>
      <c r="C21" s="201" t="s">
        <v>183</v>
      </c>
      <c r="D21" s="203" t="s">
        <v>221</v>
      </c>
      <c r="E21" s="201" t="s">
        <v>87</v>
      </c>
      <c r="F21" s="202" t="s">
        <v>58</v>
      </c>
      <c r="G21" s="200" t="s">
        <v>330</v>
      </c>
      <c r="H21" s="223">
        <v>40</v>
      </c>
      <c r="I21" s="93" t="s">
        <v>360</v>
      </c>
      <c r="J21" s="226" t="s">
        <v>360</v>
      </c>
      <c r="K21" s="94">
        <v>0</v>
      </c>
      <c r="L21" s="95">
        <v>0</v>
      </c>
      <c r="M21" s="232">
        <v>0</v>
      </c>
      <c r="N21" s="94">
        <v>0</v>
      </c>
      <c r="O21" s="95">
        <v>0</v>
      </c>
      <c r="P21" s="229">
        <v>0</v>
      </c>
      <c r="Q21" s="95">
        <v>0</v>
      </c>
      <c r="R21" s="94">
        <v>0</v>
      </c>
      <c r="S21" s="204">
        <v>0</v>
      </c>
      <c r="T21" s="95">
        <v>0</v>
      </c>
      <c r="U21" s="94">
        <v>0</v>
      </c>
      <c r="V21" s="95">
        <v>0</v>
      </c>
      <c r="W21" s="94">
        <v>0</v>
      </c>
      <c r="X21" s="95">
        <v>0</v>
      </c>
      <c r="Y21" s="94">
        <v>0</v>
      </c>
      <c r="Z21" s="95">
        <v>0</v>
      </c>
      <c r="AA21" s="229">
        <v>0</v>
      </c>
      <c r="AB21" s="95">
        <v>0</v>
      </c>
      <c r="AC21" s="1"/>
      <c r="AD21" s="238">
        <f t="shared" si="0"/>
        <v>0</v>
      </c>
      <c r="AE21" s="239">
        <f t="shared" si="1"/>
        <v>0</v>
      </c>
      <c r="AF21" s="1"/>
      <c r="AG21" s="96">
        <f t="shared" si="2"/>
        <v>0</v>
      </c>
    </row>
    <row r="22" spans="2:33" ht="30" customHeight="1" x14ac:dyDescent="0.25">
      <c r="B22" s="214">
        <v>12</v>
      </c>
      <c r="C22" s="201" t="s">
        <v>163</v>
      </c>
      <c r="D22" s="203" t="s">
        <v>217</v>
      </c>
      <c r="E22" s="201" t="s">
        <v>292</v>
      </c>
      <c r="F22" s="202" t="s">
        <v>281</v>
      </c>
      <c r="G22" s="200" t="s">
        <v>330</v>
      </c>
      <c r="H22" s="223">
        <v>100</v>
      </c>
      <c r="I22" s="93" t="s">
        <v>360</v>
      </c>
      <c r="J22" s="226" t="s">
        <v>360</v>
      </c>
      <c r="K22" s="94">
        <v>0</v>
      </c>
      <c r="L22" s="95">
        <v>0</v>
      </c>
      <c r="M22" s="232">
        <v>0</v>
      </c>
      <c r="N22" s="94">
        <v>0</v>
      </c>
      <c r="O22" s="95">
        <v>0</v>
      </c>
      <c r="P22" s="229">
        <v>0</v>
      </c>
      <c r="Q22" s="95">
        <v>0</v>
      </c>
      <c r="R22" s="94">
        <v>0</v>
      </c>
      <c r="S22" s="204">
        <v>0</v>
      </c>
      <c r="T22" s="95">
        <v>0</v>
      </c>
      <c r="U22" s="94">
        <v>0</v>
      </c>
      <c r="V22" s="95">
        <v>0</v>
      </c>
      <c r="W22" s="94">
        <v>0</v>
      </c>
      <c r="X22" s="95">
        <v>0</v>
      </c>
      <c r="Y22" s="94">
        <v>0</v>
      </c>
      <c r="Z22" s="95">
        <v>0</v>
      </c>
      <c r="AA22" s="229">
        <v>0</v>
      </c>
      <c r="AB22" s="95">
        <v>0</v>
      </c>
      <c r="AC22" s="1"/>
      <c r="AD22" s="238">
        <f t="shared" si="0"/>
        <v>0</v>
      </c>
      <c r="AE22" s="239">
        <f t="shared" si="1"/>
        <v>0</v>
      </c>
      <c r="AF22" s="1"/>
      <c r="AG22" s="96">
        <f t="shared" si="2"/>
        <v>0</v>
      </c>
    </row>
    <row r="23" spans="2:33" ht="30" customHeight="1" x14ac:dyDescent="0.25">
      <c r="B23" s="214">
        <v>13</v>
      </c>
      <c r="C23" s="201" t="s">
        <v>164</v>
      </c>
      <c r="D23" s="203" t="s">
        <v>218</v>
      </c>
      <c r="E23" s="201" t="s">
        <v>323</v>
      </c>
      <c r="F23" s="202" t="s">
        <v>281</v>
      </c>
      <c r="G23" s="200" t="s">
        <v>330</v>
      </c>
      <c r="H23" s="223">
        <v>90</v>
      </c>
      <c r="I23" s="93" t="s">
        <v>360</v>
      </c>
      <c r="J23" s="226" t="s">
        <v>360</v>
      </c>
      <c r="K23" s="94">
        <v>0</v>
      </c>
      <c r="L23" s="95">
        <v>0</v>
      </c>
      <c r="M23" s="232">
        <v>0</v>
      </c>
      <c r="N23" s="94">
        <v>0</v>
      </c>
      <c r="O23" s="95">
        <v>0</v>
      </c>
      <c r="P23" s="229">
        <v>0</v>
      </c>
      <c r="Q23" s="95">
        <v>0</v>
      </c>
      <c r="R23" s="94">
        <v>0</v>
      </c>
      <c r="S23" s="204">
        <v>0</v>
      </c>
      <c r="T23" s="95">
        <v>0</v>
      </c>
      <c r="U23" s="94">
        <v>0</v>
      </c>
      <c r="V23" s="95">
        <v>0</v>
      </c>
      <c r="W23" s="94">
        <v>0</v>
      </c>
      <c r="X23" s="95">
        <v>0</v>
      </c>
      <c r="Y23" s="94">
        <v>0</v>
      </c>
      <c r="Z23" s="95">
        <v>0</v>
      </c>
      <c r="AA23" s="229">
        <v>0</v>
      </c>
      <c r="AB23" s="95">
        <v>0</v>
      </c>
      <c r="AC23" s="1"/>
      <c r="AD23" s="240">
        <f t="shared" si="0"/>
        <v>0</v>
      </c>
      <c r="AE23" s="241">
        <f t="shared" si="1"/>
        <v>0</v>
      </c>
      <c r="AF23" s="1"/>
      <c r="AG23" s="138">
        <f t="shared" si="2"/>
        <v>0</v>
      </c>
    </row>
    <row r="24" spans="2:33" ht="30" customHeight="1" x14ac:dyDescent="0.25">
      <c r="B24" s="214">
        <v>14</v>
      </c>
      <c r="C24" s="201" t="s">
        <v>165</v>
      </c>
      <c r="D24" s="203" t="s">
        <v>270</v>
      </c>
      <c r="E24" s="201" t="s">
        <v>325</v>
      </c>
      <c r="F24" s="202" t="s">
        <v>281</v>
      </c>
      <c r="G24" s="200" t="s">
        <v>330</v>
      </c>
      <c r="H24" s="223">
        <v>59.7</v>
      </c>
      <c r="I24" s="93" t="s">
        <v>360</v>
      </c>
      <c r="J24" s="226" t="s">
        <v>360</v>
      </c>
      <c r="K24" s="94">
        <v>0</v>
      </c>
      <c r="L24" s="95">
        <v>0</v>
      </c>
      <c r="M24" s="232">
        <v>0</v>
      </c>
      <c r="N24" s="94">
        <v>0</v>
      </c>
      <c r="O24" s="95">
        <v>0</v>
      </c>
      <c r="P24" s="229">
        <v>0</v>
      </c>
      <c r="Q24" s="95">
        <v>0</v>
      </c>
      <c r="R24" s="94">
        <v>0</v>
      </c>
      <c r="S24" s="204">
        <v>0</v>
      </c>
      <c r="T24" s="95">
        <v>0</v>
      </c>
      <c r="U24" s="94">
        <v>0</v>
      </c>
      <c r="V24" s="95">
        <v>0</v>
      </c>
      <c r="W24" s="94">
        <v>0</v>
      </c>
      <c r="X24" s="95">
        <v>0</v>
      </c>
      <c r="Y24" s="94">
        <v>0</v>
      </c>
      <c r="Z24" s="95">
        <v>0</v>
      </c>
      <c r="AA24" s="229">
        <v>0</v>
      </c>
      <c r="AB24" s="95">
        <v>0</v>
      </c>
      <c r="AC24" s="1"/>
      <c r="AD24" s="240">
        <f t="shared" si="0"/>
        <v>0</v>
      </c>
      <c r="AE24" s="241">
        <f t="shared" si="1"/>
        <v>0</v>
      </c>
      <c r="AF24" s="1"/>
      <c r="AG24" s="138">
        <f t="shared" si="2"/>
        <v>0</v>
      </c>
    </row>
    <row r="25" spans="2:33" ht="30" customHeight="1" x14ac:dyDescent="0.25">
      <c r="B25" s="214">
        <v>15</v>
      </c>
      <c r="C25" s="201" t="s">
        <v>184</v>
      </c>
      <c r="D25" s="203" t="s">
        <v>248</v>
      </c>
      <c r="E25" s="201" t="s">
        <v>298</v>
      </c>
      <c r="F25" s="202" t="s">
        <v>280</v>
      </c>
      <c r="G25" s="200" t="s">
        <v>330</v>
      </c>
      <c r="H25" s="223">
        <v>46.21</v>
      </c>
      <c r="I25" s="93" t="s">
        <v>360</v>
      </c>
      <c r="J25" s="226" t="s">
        <v>360</v>
      </c>
      <c r="K25" s="94">
        <v>0</v>
      </c>
      <c r="L25" s="95">
        <v>0</v>
      </c>
      <c r="M25" s="232">
        <v>0</v>
      </c>
      <c r="N25" s="94">
        <v>0</v>
      </c>
      <c r="O25" s="95">
        <v>0</v>
      </c>
      <c r="P25" s="229">
        <v>0</v>
      </c>
      <c r="Q25" s="95">
        <v>0</v>
      </c>
      <c r="R25" s="94">
        <v>0</v>
      </c>
      <c r="S25" s="204">
        <v>0</v>
      </c>
      <c r="T25" s="95">
        <v>0</v>
      </c>
      <c r="U25" s="94">
        <v>0</v>
      </c>
      <c r="V25" s="95">
        <v>0</v>
      </c>
      <c r="W25" s="94">
        <v>0</v>
      </c>
      <c r="X25" s="95">
        <v>0</v>
      </c>
      <c r="Y25" s="94">
        <v>0</v>
      </c>
      <c r="Z25" s="95">
        <v>0</v>
      </c>
      <c r="AA25" s="229">
        <v>0</v>
      </c>
      <c r="AB25" s="95">
        <v>0</v>
      </c>
      <c r="AC25" s="1"/>
      <c r="AD25" s="240">
        <f t="shared" si="0"/>
        <v>0</v>
      </c>
      <c r="AE25" s="241">
        <f t="shared" si="1"/>
        <v>0</v>
      </c>
      <c r="AF25" s="1"/>
      <c r="AG25" s="138">
        <f t="shared" si="2"/>
        <v>0</v>
      </c>
    </row>
    <row r="26" spans="2:33" ht="30" customHeight="1" x14ac:dyDescent="0.25">
      <c r="B26" s="214">
        <v>16</v>
      </c>
      <c r="C26" s="201" t="s">
        <v>166</v>
      </c>
      <c r="D26" s="203" t="s">
        <v>219</v>
      </c>
      <c r="E26" s="201" t="s">
        <v>300</v>
      </c>
      <c r="F26" s="202" t="s">
        <v>86</v>
      </c>
      <c r="G26" s="200" t="s">
        <v>331</v>
      </c>
      <c r="H26" s="223">
        <v>140</v>
      </c>
      <c r="I26" s="93" t="s">
        <v>360</v>
      </c>
      <c r="J26" s="226" t="s">
        <v>360</v>
      </c>
      <c r="K26" s="94">
        <v>0</v>
      </c>
      <c r="L26" s="95">
        <v>0</v>
      </c>
      <c r="M26" s="232">
        <v>0</v>
      </c>
      <c r="N26" s="94">
        <v>0</v>
      </c>
      <c r="O26" s="95">
        <v>0</v>
      </c>
      <c r="P26" s="229">
        <v>0</v>
      </c>
      <c r="Q26" s="95">
        <v>0</v>
      </c>
      <c r="R26" s="94">
        <v>0</v>
      </c>
      <c r="S26" s="204">
        <v>0</v>
      </c>
      <c r="T26" s="95">
        <v>0</v>
      </c>
      <c r="U26" s="94">
        <v>0</v>
      </c>
      <c r="V26" s="95">
        <v>0</v>
      </c>
      <c r="W26" s="94">
        <v>0</v>
      </c>
      <c r="X26" s="95">
        <v>0</v>
      </c>
      <c r="Y26" s="94">
        <v>0</v>
      </c>
      <c r="Z26" s="95">
        <v>0</v>
      </c>
      <c r="AA26" s="229">
        <v>0</v>
      </c>
      <c r="AB26" s="95">
        <v>0</v>
      </c>
      <c r="AC26" s="1"/>
      <c r="AD26" s="240">
        <f t="shared" si="0"/>
        <v>0</v>
      </c>
      <c r="AE26" s="241">
        <f t="shared" si="1"/>
        <v>0</v>
      </c>
      <c r="AF26" s="1"/>
      <c r="AG26" s="138">
        <f t="shared" si="2"/>
        <v>0</v>
      </c>
    </row>
    <row r="27" spans="2:33" ht="30" customHeight="1" x14ac:dyDescent="0.25">
      <c r="B27" s="214">
        <v>17</v>
      </c>
      <c r="C27" s="201" t="s">
        <v>185</v>
      </c>
      <c r="D27" s="203" t="s">
        <v>255</v>
      </c>
      <c r="E27" s="201" t="s">
        <v>300</v>
      </c>
      <c r="F27" s="202" t="s">
        <v>86</v>
      </c>
      <c r="G27" s="200" t="s">
        <v>331</v>
      </c>
      <c r="H27" s="223">
        <v>259</v>
      </c>
      <c r="I27" s="93" t="s">
        <v>360</v>
      </c>
      <c r="J27" s="226" t="s">
        <v>360</v>
      </c>
      <c r="K27" s="94">
        <v>0</v>
      </c>
      <c r="L27" s="95">
        <v>0</v>
      </c>
      <c r="M27" s="232">
        <v>0</v>
      </c>
      <c r="N27" s="94">
        <v>0</v>
      </c>
      <c r="O27" s="95">
        <v>0</v>
      </c>
      <c r="P27" s="229">
        <v>0</v>
      </c>
      <c r="Q27" s="95">
        <v>0</v>
      </c>
      <c r="R27" s="94">
        <v>0</v>
      </c>
      <c r="S27" s="204">
        <v>0</v>
      </c>
      <c r="T27" s="95">
        <v>0</v>
      </c>
      <c r="U27" s="94">
        <v>0</v>
      </c>
      <c r="V27" s="95">
        <v>0</v>
      </c>
      <c r="W27" s="94">
        <v>0</v>
      </c>
      <c r="X27" s="95">
        <v>0</v>
      </c>
      <c r="Y27" s="94">
        <v>0</v>
      </c>
      <c r="Z27" s="95">
        <v>0</v>
      </c>
      <c r="AA27" s="229">
        <v>0</v>
      </c>
      <c r="AB27" s="95">
        <v>0</v>
      </c>
      <c r="AC27" s="1"/>
      <c r="AD27" s="240">
        <f t="shared" si="0"/>
        <v>0</v>
      </c>
      <c r="AE27" s="241">
        <f t="shared" si="1"/>
        <v>0</v>
      </c>
      <c r="AF27" s="1"/>
      <c r="AG27" s="138">
        <f t="shared" si="2"/>
        <v>0</v>
      </c>
    </row>
    <row r="28" spans="2:33" ht="30" customHeight="1" x14ac:dyDescent="0.25">
      <c r="B28" s="214">
        <v>18</v>
      </c>
      <c r="C28" s="201" t="s">
        <v>167</v>
      </c>
      <c r="D28" s="203" t="s">
        <v>254</v>
      </c>
      <c r="E28" s="202" t="s">
        <v>291</v>
      </c>
      <c r="F28" s="202" t="s">
        <v>60</v>
      </c>
      <c r="G28" s="200" t="s">
        <v>330</v>
      </c>
      <c r="H28" s="223">
        <v>10</v>
      </c>
      <c r="I28" s="93" t="s">
        <v>360</v>
      </c>
      <c r="J28" s="226" t="s">
        <v>360</v>
      </c>
      <c r="K28" s="94">
        <v>0</v>
      </c>
      <c r="L28" s="95">
        <v>0</v>
      </c>
      <c r="M28" s="232">
        <v>0</v>
      </c>
      <c r="N28" s="94">
        <v>0</v>
      </c>
      <c r="O28" s="95">
        <v>0</v>
      </c>
      <c r="P28" s="229">
        <v>0</v>
      </c>
      <c r="Q28" s="95">
        <v>0</v>
      </c>
      <c r="R28" s="94">
        <v>0</v>
      </c>
      <c r="S28" s="204">
        <v>0</v>
      </c>
      <c r="T28" s="95">
        <v>0</v>
      </c>
      <c r="U28" s="94">
        <v>0</v>
      </c>
      <c r="V28" s="95">
        <v>0</v>
      </c>
      <c r="W28" s="94">
        <v>0</v>
      </c>
      <c r="X28" s="95">
        <v>0</v>
      </c>
      <c r="Y28" s="94">
        <v>0</v>
      </c>
      <c r="Z28" s="95">
        <v>0</v>
      </c>
      <c r="AA28" s="229">
        <v>0</v>
      </c>
      <c r="AB28" s="95">
        <v>0</v>
      </c>
      <c r="AC28" s="1"/>
      <c r="AD28" s="238">
        <f t="shared" si="0"/>
        <v>0</v>
      </c>
      <c r="AE28" s="239">
        <f t="shared" si="1"/>
        <v>0</v>
      </c>
      <c r="AF28" s="1"/>
      <c r="AG28" s="96">
        <f t="shared" si="2"/>
        <v>0</v>
      </c>
    </row>
    <row r="29" spans="2:33" ht="30" customHeight="1" x14ac:dyDescent="0.25">
      <c r="B29" s="214">
        <v>19</v>
      </c>
      <c r="C29" s="201" t="s">
        <v>168</v>
      </c>
      <c r="D29" s="203" t="s">
        <v>215</v>
      </c>
      <c r="E29" s="201" t="s">
        <v>289</v>
      </c>
      <c r="F29" s="202" t="s">
        <v>60</v>
      </c>
      <c r="G29" s="200" t="s">
        <v>330</v>
      </c>
      <c r="H29" s="223">
        <v>110.4</v>
      </c>
      <c r="I29" s="93" t="s">
        <v>360</v>
      </c>
      <c r="J29" s="226" t="s">
        <v>360</v>
      </c>
      <c r="K29" s="94">
        <v>0</v>
      </c>
      <c r="L29" s="95">
        <v>0</v>
      </c>
      <c r="M29" s="232">
        <v>0</v>
      </c>
      <c r="N29" s="94">
        <v>0</v>
      </c>
      <c r="O29" s="95">
        <v>0</v>
      </c>
      <c r="P29" s="229">
        <v>0</v>
      </c>
      <c r="Q29" s="95">
        <v>0</v>
      </c>
      <c r="R29" s="94">
        <v>0</v>
      </c>
      <c r="S29" s="204">
        <v>0</v>
      </c>
      <c r="T29" s="95">
        <v>0</v>
      </c>
      <c r="U29" s="94">
        <v>0</v>
      </c>
      <c r="V29" s="95">
        <v>0</v>
      </c>
      <c r="W29" s="94">
        <v>0</v>
      </c>
      <c r="X29" s="95">
        <v>0</v>
      </c>
      <c r="Y29" s="94">
        <v>0</v>
      </c>
      <c r="Z29" s="95">
        <v>0</v>
      </c>
      <c r="AA29" s="229">
        <v>0</v>
      </c>
      <c r="AB29" s="95">
        <v>0</v>
      </c>
      <c r="AC29" s="1"/>
      <c r="AD29" s="238">
        <f t="shared" si="0"/>
        <v>0</v>
      </c>
      <c r="AE29" s="239">
        <f t="shared" si="1"/>
        <v>0</v>
      </c>
      <c r="AF29" s="1"/>
      <c r="AG29" s="96">
        <f t="shared" si="2"/>
        <v>0</v>
      </c>
    </row>
    <row r="30" spans="2:33" ht="30" customHeight="1" x14ac:dyDescent="0.25">
      <c r="B30" s="214">
        <v>20</v>
      </c>
      <c r="C30" s="201" t="s">
        <v>169</v>
      </c>
      <c r="D30" s="203" t="s">
        <v>241</v>
      </c>
      <c r="E30" s="201" t="s">
        <v>303</v>
      </c>
      <c r="F30" s="202" t="s">
        <v>86</v>
      </c>
      <c r="G30" s="200" t="s">
        <v>330</v>
      </c>
      <c r="H30" s="223">
        <v>99.9</v>
      </c>
      <c r="I30" s="93" t="s">
        <v>360</v>
      </c>
      <c r="J30" s="226" t="s">
        <v>360</v>
      </c>
      <c r="K30" s="94">
        <v>0</v>
      </c>
      <c r="L30" s="95">
        <v>0</v>
      </c>
      <c r="M30" s="232">
        <v>0</v>
      </c>
      <c r="N30" s="94">
        <v>0</v>
      </c>
      <c r="O30" s="95">
        <v>0</v>
      </c>
      <c r="P30" s="229">
        <v>0</v>
      </c>
      <c r="Q30" s="95">
        <v>0</v>
      </c>
      <c r="R30" s="94">
        <v>0</v>
      </c>
      <c r="S30" s="204">
        <v>0</v>
      </c>
      <c r="T30" s="95">
        <v>0</v>
      </c>
      <c r="U30" s="94">
        <v>0</v>
      </c>
      <c r="V30" s="95">
        <v>0</v>
      </c>
      <c r="W30" s="94">
        <v>0</v>
      </c>
      <c r="X30" s="95">
        <v>0</v>
      </c>
      <c r="Y30" s="94">
        <v>0</v>
      </c>
      <c r="Z30" s="95">
        <v>0</v>
      </c>
      <c r="AA30" s="229">
        <v>0</v>
      </c>
      <c r="AB30" s="95">
        <v>0</v>
      </c>
      <c r="AC30" s="1"/>
      <c r="AD30" s="238">
        <f t="shared" si="0"/>
        <v>0</v>
      </c>
      <c r="AE30" s="239">
        <f t="shared" si="1"/>
        <v>0</v>
      </c>
      <c r="AF30" s="1"/>
      <c r="AG30" s="96">
        <f t="shared" si="2"/>
        <v>0</v>
      </c>
    </row>
    <row r="31" spans="2:33" ht="30" customHeight="1" x14ac:dyDescent="0.25">
      <c r="B31" s="214">
        <v>21</v>
      </c>
      <c r="C31" s="201" t="s">
        <v>170</v>
      </c>
      <c r="D31" s="203" t="s">
        <v>260</v>
      </c>
      <c r="E31" s="202" t="s">
        <v>290</v>
      </c>
      <c r="F31" s="202" t="s">
        <v>60</v>
      </c>
      <c r="G31" s="200" t="s">
        <v>330</v>
      </c>
      <c r="H31" s="223">
        <v>600</v>
      </c>
      <c r="I31" s="93" t="s">
        <v>360</v>
      </c>
      <c r="J31" s="226" t="s">
        <v>360</v>
      </c>
      <c r="K31" s="94">
        <v>0</v>
      </c>
      <c r="L31" s="95">
        <v>0</v>
      </c>
      <c r="M31" s="232">
        <v>0</v>
      </c>
      <c r="N31" s="94">
        <v>0</v>
      </c>
      <c r="O31" s="95">
        <v>0</v>
      </c>
      <c r="P31" s="229">
        <v>0</v>
      </c>
      <c r="Q31" s="95">
        <v>0</v>
      </c>
      <c r="R31" s="94">
        <v>0</v>
      </c>
      <c r="S31" s="204">
        <v>0</v>
      </c>
      <c r="T31" s="95">
        <v>0</v>
      </c>
      <c r="U31" s="94">
        <v>0</v>
      </c>
      <c r="V31" s="95">
        <v>0</v>
      </c>
      <c r="W31" s="94">
        <v>0</v>
      </c>
      <c r="X31" s="95">
        <v>0</v>
      </c>
      <c r="Y31" s="94">
        <v>0</v>
      </c>
      <c r="Z31" s="95">
        <v>0</v>
      </c>
      <c r="AA31" s="229">
        <v>0</v>
      </c>
      <c r="AB31" s="95">
        <v>0</v>
      </c>
      <c r="AC31" s="1"/>
      <c r="AD31" s="238">
        <f t="shared" si="0"/>
        <v>0</v>
      </c>
      <c r="AE31" s="239">
        <f t="shared" si="1"/>
        <v>0</v>
      </c>
      <c r="AF31" s="1"/>
      <c r="AG31" s="96">
        <f t="shared" si="2"/>
        <v>0</v>
      </c>
    </row>
    <row r="32" spans="2:33" ht="30" customHeight="1" x14ac:dyDescent="0.25">
      <c r="B32" s="214">
        <v>22</v>
      </c>
      <c r="C32" s="201" t="s">
        <v>171</v>
      </c>
      <c r="D32" s="203" t="s">
        <v>223</v>
      </c>
      <c r="E32" s="201" t="s">
        <v>63</v>
      </c>
      <c r="F32" s="202" t="s">
        <v>56</v>
      </c>
      <c r="G32" s="200" t="s">
        <v>331</v>
      </c>
      <c r="H32" s="223">
        <v>117</v>
      </c>
      <c r="I32" s="93" t="s">
        <v>360</v>
      </c>
      <c r="J32" s="226" t="s">
        <v>360</v>
      </c>
      <c r="K32" s="94">
        <v>0</v>
      </c>
      <c r="L32" s="95">
        <v>0</v>
      </c>
      <c r="M32" s="232">
        <v>0</v>
      </c>
      <c r="N32" s="94">
        <v>0</v>
      </c>
      <c r="O32" s="95">
        <v>0</v>
      </c>
      <c r="P32" s="229">
        <v>0</v>
      </c>
      <c r="Q32" s="95">
        <v>0</v>
      </c>
      <c r="R32" s="94">
        <v>0</v>
      </c>
      <c r="S32" s="204">
        <v>0</v>
      </c>
      <c r="T32" s="95">
        <v>0</v>
      </c>
      <c r="U32" s="94">
        <v>0</v>
      </c>
      <c r="V32" s="95">
        <v>0</v>
      </c>
      <c r="W32" s="94">
        <v>0</v>
      </c>
      <c r="X32" s="95">
        <v>0</v>
      </c>
      <c r="Y32" s="94">
        <v>0</v>
      </c>
      <c r="Z32" s="95">
        <v>0</v>
      </c>
      <c r="AA32" s="229">
        <v>0</v>
      </c>
      <c r="AB32" s="95">
        <v>0</v>
      </c>
      <c r="AC32" s="1"/>
      <c r="AD32" s="238">
        <f t="shared" si="0"/>
        <v>0</v>
      </c>
      <c r="AE32" s="239">
        <f t="shared" si="1"/>
        <v>0</v>
      </c>
      <c r="AF32" s="1"/>
      <c r="AG32" s="96">
        <f t="shared" si="2"/>
        <v>0</v>
      </c>
    </row>
    <row r="33" spans="2:33" ht="30" customHeight="1" x14ac:dyDescent="0.25">
      <c r="B33" s="214">
        <v>23</v>
      </c>
      <c r="C33" s="201" t="s">
        <v>172</v>
      </c>
      <c r="D33" s="203" t="s">
        <v>253</v>
      </c>
      <c r="E33" s="202" t="s">
        <v>290</v>
      </c>
      <c r="F33" s="202" t="s">
        <v>60</v>
      </c>
      <c r="G33" s="200" t="s">
        <v>330</v>
      </c>
      <c r="H33" s="223">
        <v>100</v>
      </c>
      <c r="I33" s="93" t="s">
        <v>360</v>
      </c>
      <c r="J33" s="226" t="s">
        <v>360</v>
      </c>
      <c r="K33" s="94">
        <v>0</v>
      </c>
      <c r="L33" s="95">
        <v>0</v>
      </c>
      <c r="M33" s="232">
        <v>0</v>
      </c>
      <c r="N33" s="94">
        <v>0</v>
      </c>
      <c r="O33" s="95">
        <v>0</v>
      </c>
      <c r="P33" s="229">
        <v>0</v>
      </c>
      <c r="Q33" s="95">
        <v>0</v>
      </c>
      <c r="R33" s="94">
        <v>0</v>
      </c>
      <c r="S33" s="204">
        <v>0</v>
      </c>
      <c r="T33" s="95">
        <v>0</v>
      </c>
      <c r="U33" s="94">
        <v>0</v>
      </c>
      <c r="V33" s="95">
        <v>0</v>
      </c>
      <c r="W33" s="94">
        <v>0</v>
      </c>
      <c r="X33" s="95">
        <v>0</v>
      </c>
      <c r="Y33" s="94">
        <v>0</v>
      </c>
      <c r="Z33" s="95">
        <v>0</v>
      </c>
      <c r="AA33" s="229">
        <v>0</v>
      </c>
      <c r="AB33" s="95">
        <v>0</v>
      </c>
      <c r="AC33" s="1"/>
      <c r="AD33" s="238">
        <f t="shared" si="0"/>
        <v>0</v>
      </c>
      <c r="AE33" s="239">
        <f t="shared" si="1"/>
        <v>0</v>
      </c>
      <c r="AF33" s="1"/>
      <c r="AG33" s="96">
        <f t="shared" si="2"/>
        <v>0</v>
      </c>
    </row>
    <row r="34" spans="2:33" ht="30" customHeight="1" x14ac:dyDescent="0.25">
      <c r="B34" s="214">
        <v>24</v>
      </c>
      <c r="C34" s="201" t="s">
        <v>186</v>
      </c>
      <c r="D34" s="203" t="s">
        <v>240</v>
      </c>
      <c r="E34" s="201" t="s">
        <v>302</v>
      </c>
      <c r="F34" s="202" t="s">
        <v>86</v>
      </c>
      <c r="G34" s="200" t="s">
        <v>331</v>
      </c>
      <c r="H34" s="223">
        <v>400</v>
      </c>
      <c r="I34" s="93" t="s">
        <v>360</v>
      </c>
      <c r="J34" s="226" t="s">
        <v>360</v>
      </c>
      <c r="K34" s="94">
        <v>0</v>
      </c>
      <c r="L34" s="95">
        <v>0</v>
      </c>
      <c r="M34" s="232">
        <v>0</v>
      </c>
      <c r="N34" s="94">
        <v>0</v>
      </c>
      <c r="O34" s="95">
        <v>0</v>
      </c>
      <c r="P34" s="229">
        <v>0</v>
      </c>
      <c r="Q34" s="95">
        <v>0</v>
      </c>
      <c r="R34" s="94">
        <v>0</v>
      </c>
      <c r="S34" s="204">
        <v>0</v>
      </c>
      <c r="T34" s="95">
        <v>0</v>
      </c>
      <c r="U34" s="94">
        <v>0</v>
      </c>
      <c r="V34" s="95">
        <v>0</v>
      </c>
      <c r="W34" s="94">
        <v>0</v>
      </c>
      <c r="X34" s="95">
        <v>0</v>
      </c>
      <c r="Y34" s="94">
        <v>0</v>
      </c>
      <c r="Z34" s="95">
        <v>0</v>
      </c>
      <c r="AA34" s="229">
        <v>0</v>
      </c>
      <c r="AB34" s="95">
        <v>0</v>
      </c>
      <c r="AC34" s="1"/>
      <c r="AD34" s="238">
        <f t="shared" si="0"/>
        <v>0</v>
      </c>
      <c r="AE34" s="239">
        <f t="shared" si="1"/>
        <v>0</v>
      </c>
      <c r="AF34" s="1"/>
      <c r="AG34" s="96">
        <f t="shared" si="2"/>
        <v>0</v>
      </c>
    </row>
    <row r="35" spans="2:33" ht="30" customHeight="1" x14ac:dyDescent="0.25">
      <c r="B35" s="214">
        <v>25</v>
      </c>
      <c r="C35" s="201" t="s">
        <v>156</v>
      </c>
      <c r="D35" s="203" t="s">
        <v>232</v>
      </c>
      <c r="E35" s="201" t="s">
        <v>310</v>
      </c>
      <c r="F35" s="202" t="s">
        <v>56</v>
      </c>
      <c r="G35" s="200" t="s">
        <v>331</v>
      </c>
      <c r="H35" s="223">
        <v>580</v>
      </c>
      <c r="I35" s="93" t="s">
        <v>360</v>
      </c>
      <c r="J35" s="226" t="s">
        <v>360</v>
      </c>
      <c r="K35" s="94">
        <v>0</v>
      </c>
      <c r="L35" s="95">
        <v>0</v>
      </c>
      <c r="M35" s="232">
        <v>0</v>
      </c>
      <c r="N35" s="94">
        <v>0</v>
      </c>
      <c r="O35" s="95">
        <v>0</v>
      </c>
      <c r="P35" s="229">
        <v>0</v>
      </c>
      <c r="Q35" s="95">
        <v>0</v>
      </c>
      <c r="R35" s="94">
        <v>0</v>
      </c>
      <c r="S35" s="204">
        <v>0</v>
      </c>
      <c r="T35" s="95">
        <v>0</v>
      </c>
      <c r="U35" s="94">
        <v>0</v>
      </c>
      <c r="V35" s="95">
        <v>0</v>
      </c>
      <c r="W35" s="94">
        <v>0</v>
      </c>
      <c r="X35" s="95">
        <v>0</v>
      </c>
      <c r="Y35" s="94">
        <v>0</v>
      </c>
      <c r="Z35" s="95">
        <v>0</v>
      </c>
      <c r="AA35" s="229">
        <v>0</v>
      </c>
      <c r="AB35" s="95">
        <v>0</v>
      </c>
      <c r="AC35" s="1"/>
      <c r="AD35" s="238">
        <f t="shared" si="0"/>
        <v>0</v>
      </c>
      <c r="AE35" s="239">
        <f t="shared" si="1"/>
        <v>0</v>
      </c>
      <c r="AF35" s="1"/>
      <c r="AG35" s="96">
        <f t="shared" si="2"/>
        <v>0</v>
      </c>
    </row>
    <row r="36" spans="2:33" ht="30" customHeight="1" x14ac:dyDescent="0.25">
      <c r="B36" s="214">
        <v>26</v>
      </c>
      <c r="C36" s="201" t="s">
        <v>201</v>
      </c>
      <c r="D36" s="203" t="s">
        <v>268</v>
      </c>
      <c r="E36" s="202" t="s">
        <v>55</v>
      </c>
      <c r="F36" s="202" t="s">
        <v>56</v>
      </c>
      <c r="G36" s="200" t="s">
        <v>330</v>
      </c>
      <c r="H36" s="223">
        <v>110</v>
      </c>
      <c r="I36" s="93" t="s">
        <v>360</v>
      </c>
      <c r="J36" s="226" t="s">
        <v>360</v>
      </c>
      <c r="K36" s="94">
        <v>0</v>
      </c>
      <c r="L36" s="95">
        <v>0</v>
      </c>
      <c r="M36" s="232">
        <v>0</v>
      </c>
      <c r="N36" s="94">
        <v>0</v>
      </c>
      <c r="O36" s="95">
        <v>0</v>
      </c>
      <c r="P36" s="229">
        <v>0</v>
      </c>
      <c r="Q36" s="95">
        <v>0</v>
      </c>
      <c r="R36" s="94">
        <v>0</v>
      </c>
      <c r="S36" s="204">
        <v>0</v>
      </c>
      <c r="T36" s="95">
        <v>0</v>
      </c>
      <c r="U36" s="94">
        <v>0</v>
      </c>
      <c r="V36" s="95">
        <v>0</v>
      </c>
      <c r="W36" s="94">
        <v>0</v>
      </c>
      <c r="X36" s="95">
        <v>0</v>
      </c>
      <c r="Y36" s="94">
        <v>0</v>
      </c>
      <c r="Z36" s="95">
        <v>0</v>
      </c>
      <c r="AA36" s="229">
        <v>0</v>
      </c>
      <c r="AB36" s="95">
        <v>0</v>
      </c>
      <c r="AC36" s="1"/>
      <c r="AD36" s="238">
        <f t="shared" si="0"/>
        <v>0</v>
      </c>
      <c r="AE36" s="239">
        <f t="shared" si="1"/>
        <v>0</v>
      </c>
      <c r="AF36" s="1"/>
      <c r="AG36" s="96">
        <f t="shared" si="2"/>
        <v>0</v>
      </c>
    </row>
    <row r="37" spans="2:33" ht="30" customHeight="1" x14ac:dyDescent="0.25">
      <c r="B37" s="214">
        <v>27</v>
      </c>
      <c r="C37" s="201" t="s">
        <v>173</v>
      </c>
      <c r="D37" s="203" t="s">
        <v>226</v>
      </c>
      <c r="E37" s="201" t="s">
        <v>301</v>
      </c>
      <c r="F37" s="202" t="s">
        <v>86</v>
      </c>
      <c r="G37" s="200" t="s">
        <v>330</v>
      </c>
      <c r="H37" s="223">
        <v>100</v>
      </c>
      <c r="I37" s="93" t="s">
        <v>360</v>
      </c>
      <c r="J37" s="226" t="s">
        <v>360</v>
      </c>
      <c r="K37" s="94">
        <v>0</v>
      </c>
      <c r="L37" s="95">
        <v>0</v>
      </c>
      <c r="M37" s="232">
        <v>0</v>
      </c>
      <c r="N37" s="94">
        <v>0</v>
      </c>
      <c r="O37" s="95">
        <v>0</v>
      </c>
      <c r="P37" s="229">
        <v>0</v>
      </c>
      <c r="Q37" s="95">
        <v>0</v>
      </c>
      <c r="R37" s="94">
        <v>0</v>
      </c>
      <c r="S37" s="204">
        <v>0</v>
      </c>
      <c r="T37" s="95">
        <v>0</v>
      </c>
      <c r="U37" s="94">
        <v>0</v>
      </c>
      <c r="V37" s="95">
        <v>0</v>
      </c>
      <c r="W37" s="94">
        <v>0</v>
      </c>
      <c r="X37" s="95">
        <v>0</v>
      </c>
      <c r="Y37" s="94">
        <v>0</v>
      </c>
      <c r="Z37" s="95">
        <v>0</v>
      </c>
      <c r="AA37" s="229">
        <v>0</v>
      </c>
      <c r="AB37" s="95">
        <v>0</v>
      </c>
      <c r="AC37" s="1"/>
      <c r="AD37" s="238">
        <f t="shared" si="0"/>
        <v>0</v>
      </c>
      <c r="AE37" s="239">
        <f t="shared" si="1"/>
        <v>0</v>
      </c>
      <c r="AF37" s="1"/>
      <c r="AG37" s="96">
        <f t="shared" si="2"/>
        <v>0</v>
      </c>
    </row>
    <row r="38" spans="2:33" ht="30" customHeight="1" x14ac:dyDescent="0.25">
      <c r="B38" s="214">
        <v>28</v>
      </c>
      <c r="C38" s="201" t="s">
        <v>188</v>
      </c>
      <c r="D38" s="200" t="s">
        <v>242</v>
      </c>
      <c r="E38" s="201" t="s">
        <v>322</v>
      </c>
      <c r="F38" s="202" t="s">
        <v>275</v>
      </c>
      <c r="G38" s="200" t="s">
        <v>330</v>
      </c>
      <c r="H38" s="223">
        <v>118</v>
      </c>
      <c r="I38" s="93" t="s">
        <v>360</v>
      </c>
      <c r="J38" s="226" t="s">
        <v>360</v>
      </c>
      <c r="K38" s="94">
        <v>0</v>
      </c>
      <c r="L38" s="95">
        <v>0</v>
      </c>
      <c r="M38" s="232">
        <v>0</v>
      </c>
      <c r="N38" s="94">
        <v>0</v>
      </c>
      <c r="O38" s="95">
        <v>0</v>
      </c>
      <c r="P38" s="229">
        <v>0</v>
      </c>
      <c r="Q38" s="95">
        <v>0</v>
      </c>
      <c r="R38" s="94">
        <v>0</v>
      </c>
      <c r="S38" s="204">
        <v>0</v>
      </c>
      <c r="T38" s="95">
        <v>0</v>
      </c>
      <c r="U38" s="94">
        <v>0</v>
      </c>
      <c r="V38" s="95">
        <v>0</v>
      </c>
      <c r="W38" s="94">
        <v>0</v>
      </c>
      <c r="X38" s="95">
        <v>0</v>
      </c>
      <c r="Y38" s="94">
        <v>0</v>
      </c>
      <c r="Z38" s="95">
        <v>0</v>
      </c>
      <c r="AA38" s="229">
        <v>0</v>
      </c>
      <c r="AB38" s="95">
        <v>0</v>
      </c>
      <c r="AC38" s="1"/>
      <c r="AD38" s="238">
        <f t="shared" si="0"/>
        <v>0</v>
      </c>
      <c r="AE38" s="239">
        <f t="shared" si="1"/>
        <v>0</v>
      </c>
      <c r="AF38" s="1"/>
      <c r="AG38" s="96">
        <f t="shared" si="2"/>
        <v>0</v>
      </c>
    </row>
    <row r="39" spans="2:33" ht="30" customHeight="1" x14ac:dyDescent="0.25">
      <c r="B39" s="214">
        <v>29</v>
      </c>
      <c r="C39" s="201" t="s">
        <v>174</v>
      </c>
      <c r="D39" s="203" t="s">
        <v>214</v>
      </c>
      <c r="E39" s="201" t="s">
        <v>295</v>
      </c>
      <c r="F39" s="202" t="s">
        <v>275</v>
      </c>
      <c r="G39" s="200" t="s">
        <v>330</v>
      </c>
      <c r="H39" s="223">
        <v>395.4</v>
      </c>
      <c r="I39" s="93" t="s">
        <v>360</v>
      </c>
      <c r="J39" s="226" t="s">
        <v>360</v>
      </c>
      <c r="K39" s="94">
        <v>0</v>
      </c>
      <c r="L39" s="95">
        <v>0</v>
      </c>
      <c r="M39" s="232">
        <v>0</v>
      </c>
      <c r="N39" s="94">
        <v>0</v>
      </c>
      <c r="O39" s="95">
        <v>0</v>
      </c>
      <c r="P39" s="229">
        <v>0</v>
      </c>
      <c r="Q39" s="95">
        <v>0</v>
      </c>
      <c r="R39" s="94">
        <v>0</v>
      </c>
      <c r="S39" s="204">
        <v>0</v>
      </c>
      <c r="T39" s="95">
        <v>0</v>
      </c>
      <c r="U39" s="94">
        <v>0</v>
      </c>
      <c r="V39" s="95">
        <v>0</v>
      </c>
      <c r="W39" s="94">
        <v>0</v>
      </c>
      <c r="X39" s="95">
        <v>0</v>
      </c>
      <c r="Y39" s="94">
        <v>0</v>
      </c>
      <c r="Z39" s="95">
        <v>0</v>
      </c>
      <c r="AA39" s="229">
        <v>0</v>
      </c>
      <c r="AB39" s="95">
        <v>0</v>
      </c>
      <c r="AC39" s="1"/>
      <c r="AD39" s="238">
        <f t="shared" si="0"/>
        <v>0</v>
      </c>
      <c r="AE39" s="239">
        <f t="shared" si="1"/>
        <v>0</v>
      </c>
      <c r="AF39" s="1"/>
      <c r="AG39" s="96">
        <f t="shared" si="2"/>
        <v>0</v>
      </c>
    </row>
    <row r="40" spans="2:33" ht="30" customHeight="1" x14ac:dyDescent="0.25">
      <c r="B40" s="214">
        <v>30</v>
      </c>
      <c r="C40" s="201" t="s">
        <v>175</v>
      </c>
      <c r="D40" s="203" t="s">
        <v>261</v>
      </c>
      <c r="E40" s="202" t="s">
        <v>294</v>
      </c>
      <c r="F40" s="202" t="s">
        <v>59</v>
      </c>
      <c r="G40" s="200" t="s">
        <v>330</v>
      </c>
      <c r="H40" s="223">
        <v>90</v>
      </c>
      <c r="I40" s="93" t="s">
        <v>360</v>
      </c>
      <c r="J40" s="226" t="s">
        <v>360</v>
      </c>
      <c r="K40" s="94">
        <v>0</v>
      </c>
      <c r="L40" s="95">
        <v>0</v>
      </c>
      <c r="M40" s="232">
        <v>0</v>
      </c>
      <c r="N40" s="94">
        <v>0</v>
      </c>
      <c r="O40" s="95">
        <v>0</v>
      </c>
      <c r="P40" s="229">
        <v>0</v>
      </c>
      <c r="Q40" s="95">
        <v>0</v>
      </c>
      <c r="R40" s="94">
        <v>0</v>
      </c>
      <c r="S40" s="204">
        <v>0</v>
      </c>
      <c r="T40" s="95">
        <v>0</v>
      </c>
      <c r="U40" s="94">
        <v>0</v>
      </c>
      <c r="V40" s="95">
        <v>0</v>
      </c>
      <c r="W40" s="94">
        <v>0</v>
      </c>
      <c r="X40" s="95">
        <v>0</v>
      </c>
      <c r="Y40" s="94">
        <v>0</v>
      </c>
      <c r="Z40" s="95">
        <v>0</v>
      </c>
      <c r="AA40" s="229">
        <v>0</v>
      </c>
      <c r="AB40" s="95">
        <v>0</v>
      </c>
      <c r="AC40" s="1"/>
      <c r="AD40" s="238">
        <f t="shared" si="0"/>
        <v>0</v>
      </c>
      <c r="AE40" s="239">
        <f t="shared" si="1"/>
        <v>0</v>
      </c>
      <c r="AF40" s="1"/>
      <c r="AG40" s="96">
        <f t="shared" si="2"/>
        <v>0</v>
      </c>
    </row>
    <row r="41" spans="2:33" ht="30" customHeight="1" x14ac:dyDescent="0.25">
      <c r="B41" s="214">
        <v>31</v>
      </c>
      <c r="C41" s="201" t="s">
        <v>176</v>
      </c>
      <c r="D41" s="203" t="s">
        <v>256</v>
      </c>
      <c r="E41" s="202" t="s">
        <v>328</v>
      </c>
      <c r="F41" s="202" t="s">
        <v>59</v>
      </c>
      <c r="G41" s="200" t="s">
        <v>330</v>
      </c>
      <c r="H41" s="223">
        <v>100</v>
      </c>
      <c r="I41" s="93" t="s">
        <v>360</v>
      </c>
      <c r="J41" s="226" t="s">
        <v>360</v>
      </c>
      <c r="K41" s="94">
        <v>0</v>
      </c>
      <c r="L41" s="95">
        <v>0</v>
      </c>
      <c r="M41" s="232">
        <v>0</v>
      </c>
      <c r="N41" s="94">
        <v>0</v>
      </c>
      <c r="O41" s="95">
        <v>0</v>
      </c>
      <c r="P41" s="229">
        <v>0</v>
      </c>
      <c r="Q41" s="95">
        <v>0</v>
      </c>
      <c r="R41" s="94">
        <v>0</v>
      </c>
      <c r="S41" s="204">
        <v>0</v>
      </c>
      <c r="T41" s="95">
        <v>0</v>
      </c>
      <c r="U41" s="94">
        <v>0</v>
      </c>
      <c r="V41" s="95">
        <v>0</v>
      </c>
      <c r="W41" s="94">
        <v>0</v>
      </c>
      <c r="X41" s="95">
        <v>0</v>
      </c>
      <c r="Y41" s="94">
        <v>0</v>
      </c>
      <c r="Z41" s="95">
        <v>0</v>
      </c>
      <c r="AA41" s="229">
        <v>0</v>
      </c>
      <c r="AB41" s="95">
        <v>0</v>
      </c>
      <c r="AC41" s="1"/>
      <c r="AD41" s="238">
        <f t="shared" si="0"/>
        <v>0</v>
      </c>
      <c r="AE41" s="239">
        <f t="shared" si="1"/>
        <v>0</v>
      </c>
      <c r="AF41" s="1"/>
      <c r="AG41" s="96">
        <f t="shared" si="2"/>
        <v>0</v>
      </c>
    </row>
    <row r="42" spans="2:33" ht="30" customHeight="1" x14ac:dyDescent="0.25">
      <c r="B42" s="214">
        <v>32</v>
      </c>
      <c r="C42" s="201" t="s">
        <v>175</v>
      </c>
      <c r="D42" s="203" t="s">
        <v>262</v>
      </c>
      <c r="E42" s="201" t="s">
        <v>282</v>
      </c>
      <c r="F42" s="202" t="s">
        <v>276</v>
      </c>
      <c r="G42" s="200" t="s">
        <v>330</v>
      </c>
      <c r="H42" s="223">
        <v>120</v>
      </c>
      <c r="I42" s="93" t="s">
        <v>360</v>
      </c>
      <c r="J42" s="226" t="s">
        <v>360</v>
      </c>
      <c r="K42" s="94">
        <v>0</v>
      </c>
      <c r="L42" s="95">
        <v>0</v>
      </c>
      <c r="M42" s="232">
        <v>0</v>
      </c>
      <c r="N42" s="94">
        <v>0</v>
      </c>
      <c r="O42" s="95">
        <v>0</v>
      </c>
      <c r="P42" s="229">
        <v>0</v>
      </c>
      <c r="Q42" s="95">
        <v>0</v>
      </c>
      <c r="R42" s="94">
        <v>0</v>
      </c>
      <c r="S42" s="204">
        <v>0</v>
      </c>
      <c r="T42" s="95">
        <v>0</v>
      </c>
      <c r="U42" s="94">
        <v>0</v>
      </c>
      <c r="V42" s="95">
        <v>0</v>
      </c>
      <c r="W42" s="94">
        <v>0</v>
      </c>
      <c r="X42" s="95">
        <v>0</v>
      </c>
      <c r="Y42" s="94">
        <v>0</v>
      </c>
      <c r="Z42" s="95">
        <v>0</v>
      </c>
      <c r="AA42" s="229">
        <v>0</v>
      </c>
      <c r="AB42" s="95">
        <v>0</v>
      </c>
      <c r="AC42" s="1"/>
      <c r="AD42" s="238">
        <f t="shared" si="0"/>
        <v>0</v>
      </c>
      <c r="AE42" s="239">
        <f t="shared" si="1"/>
        <v>0</v>
      </c>
      <c r="AF42" s="1"/>
      <c r="AG42" s="96">
        <f t="shared" si="2"/>
        <v>0</v>
      </c>
    </row>
    <row r="43" spans="2:33" ht="30" customHeight="1" x14ac:dyDescent="0.25">
      <c r="B43" s="214">
        <v>33</v>
      </c>
      <c r="C43" s="202" t="s">
        <v>202</v>
      </c>
      <c r="D43" s="203" t="s">
        <v>237</v>
      </c>
      <c r="E43" s="201" t="s">
        <v>321</v>
      </c>
      <c r="F43" s="202" t="s">
        <v>85</v>
      </c>
      <c r="G43" s="200" t="s">
        <v>330</v>
      </c>
      <c r="H43" s="223">
        <v>330</v>
      </c>
      <c r="I43" s="93" t="s">
        <v>360</v>
      </c>
      <c r="J43" s="226" t="s">
        <v>360</v>
      </c>
      <c r="K43" s="94">
        <v>0</v>
      </c>
      <c r="L43" s="95">
        <v>0</v>
      </c>
      <c r="M43" s="232">
        <v>0</v>
      </c>
      <c r="N43" s="94">
        <v>0</v>
      </c>
      <c r="O43" s="95">
        <v>0</v>
      </c>
      <c r="P43" s="229">
        <v>0</v>
      </c>
      <c r="Q43" s="95">
        <v>0</v>
      </c>
      <c r="R43" s="94">
        <v>0</v>
      </c>
      <c r="S43" s="204">
        <v>0</v>
      </c>
      <c r="T43" s="95">
        <v>0</v>
      </c>
      <c r="U43" s="94">
        <v>0</v>
      </c>
      <c r="V43" s="95">
        <v>0</v>
      </c>
      <c r="W43" s="94">
        <v>0</v>
      </c>
      <c r="X43" s="95">
        <v>0</v>
      </c>
      <c r="Y43" s="94">
        <v>0</v>
      </c>
      <c r="Z43" s="95">
        <v>0</v>
      </c>
      <c r="AA43" s="229">
        <v>0</v>
      </c>
      <c r="AB43" s="95">
        <v>0</v>
      </c>
      <c r="AC43" s="1"/>
      <c r="AD43" s="238">
        <f t="shared" ref="AD43:AD74" si="3">+(K43*$K$76)+(M43*$M$76)+(N43*$N$76)+(P43*$P$76)+(R43*$R$76)+(T43*$T$76)+(U43*$U$76)+(W43*$W$76)+(Y43*$Y$76)+(AA43*$AA$76)</f>
        <v>0</v>
      </c>
      <c r="AE43" s="239">
        <f t="shared" ref="AE43:AE74" si="4">+(L43*$K$76)+(M43*$M$76)+(O43*$N$76)+(Q43*$P$76)+(S43*$R$76)+(T43*$T$76)+(V43*$U$76)+(X43*$W$76)+(Z43*$Y$76)+(AB43*$AA$76)</f>
        <v>0</v>
      </c>
      <c r="AF43" s="1"/>
      <c r="AG43" s="96">
        <f t="shared" ref="AG43:AG74" si="5">+(AD43*$AD$76)+(AE43*$AE$76)</f>
        <v>0</v>
      </c>
    </row>
    <row r="44" spans="2:33" ht="30" customHeight="1" x14ac:dyDescent="0.25">
      <c r="B44" s="214">
        <v>34</v>
      </c>
      <c r="C44" s="202" t="s">
        <v>189</v>
      </c>
      <c r="D44" s="200" t="s">
        <v>216</v>
      </c>
      <c r="E44" s="201" t="s">
        <v>296</v>
      </c>
      <c r="F44" s="202" t="s">
        <v>275</v>
      </c>
      <c r="G44" s="200" t="s">
        <v>330</v>
      </c>
      <c r="H44" s="223">
        <v>80</v>
      </c>
      <c r="I44" s="93" t="s">
        <v>360</v>
      </c>
      <c r="J44" s="226" t="s">
        <v>360</v>
      </c>
      <c r="K44" s="94">
        <v>0</v>
      </c>
      <c r="L44" s="95">
        <v>0</v>
      </c>
      <c r="M44" s="232">
        <v>0</v>
      </c>
      <c r="N44" s="94">
        <v>0</v>
      </c>
      <c r="O44" s="95">
        <v>0</v>
      </c>
      <c r="P44" s="229">
        <v>0</v>
      </c>
      <c r="Q44" s="95">
        <v>0</v>
      </c>
      <c r="R44" s="94">
        <v>0</v>
      </c>
      <c r="S44" s="204">
        <v>0</v>
      </c>
      <c r="T44" s="95">
        <v>0</v>
      </c>
      <c r="U44" s="94">
        <v>0</v>
      </c>
      <c r="V44" s="95">
        <v>0</v>
      </c>
      <c r="W44" s="94">
        <v>0</v>
      </c>
      <c r="X44" s="95">
        <v>0</v>
      </c>
      <c r="Y44" s="94">
        <v>0</v>
      </c>
      <c r="Z44" s="95">
        <v>0</v>
      </c>
      <c r="AA44" s="229">
        <v>0</v>
      </c>
      <c r="AB44" s="95">
        <v>0</v>
      </c>
      <c r="AC44" s="1"/>
      <c r="AD44" s="238">
        <f t="shared" si="3"/>
        <v>0</v>
      </c>
      <c r="AE44" s="239">
        <f t="shared" si="4"/>
        <v>0</v>
      </c>
      <c r="AF44" s="1"/>
      <c r="AG44" s="96">
        <f t="shared" si="5"/>
        <v>0</v>
      </c>
    </row>
    <row r="45" spans="2:33" ht="30" customHeight="1" x14ac:dyDescent="0.25">
      <c r="B45" s="214">
        <v>35</v>
      </c>
      <c r="C45" s="201" t="s">
        <v>190</v>
      </c>
      <c r="D45" s="200" t="s">
        <v>228</v>
      </c>
      <c r="E45" s="201" t="s">
        <v>297</v>
      </c>
      <c r="F45" s="202" t="s">
        <v>275</v>
      </c>
      <c r="G45" s="200" t="s">
        <v>330</v>
      </c>
      <c r="H45" s="223">
        <v>100</v>
      </c>
      <c r="I45" s="93" t="s">
        <v>360</v>
      </c>
      <c r="J45" s="226" t="s">
        <v>360</v>
      </c>
      <c r="K45" s="94">
        <v>0</v>
      </c>
      <c r="L45" s="95">
        <v>0</v>
      </c>
      <c r="M45" s="232">
        <v>0</v>
      </c>
      <c r="N45" s="94">
        <v>0</v>
      </c>
      <c r="O45" s="95">
        <v>0</v>
      </c>
      <c r="P45" s="229">
        <v>0</v>
      </c>
      <c r="Q45" s="95">
        <v>0</v>
      </c>
      <c r="R45" s="94">
        <v>0</v>
      </c>
      <c r="S45" s="204">
        <v>0</v>
      </c>
      <c r="T45" s="95">
        <v>0</v>
      </c>
      <c r="U45" s="94">
        <v>0</v>
      </c>
      <c r="V45" s="95">
        <v>0</v>
      </c>
      <c r="W45" s="94">
        <v>0</v>
      </c>
      <c r="X45" s="95">
        <v>0</v>
      </c>
      <c r="Y45" s="94">
        <v>0</v>
      </c>
      <c r="Z45" s="95">
        <v>0</v>
      </c>
      <c r="AA45" s="229">
        <v>0</v>
      </c>
      <c r="AB45" s="95">
        <v>0</v>
      </c>
      <c r="AC45" s="1"/>
      <c r="AD45" s="238">
        <f t="shared" si="3"/>
        <v>0</v>
      </c>
      <c r="AE45" s="239">
        <f t="shared" si="4"/>
        <v>0</v>
      </c>
      <c r="AF45" s="1"/>
      <c r="AG45" s="96">
        <f t="shared" si="5"/>
        <v>0</v>
      </c>
    </row>
    <row r="46" spans="2:33" ht="30" customHeight="1" x14ac:dyDescent="0.25">
      <c r="B46" s="214">
        <v>36</v>
      </c>
      <c r="C46" s="201" t="s">
        <v>191</v>
      </c>
      <c r="D46" s="203" t="s">
        <v>251</v>
      </c>
      <c r="E46" s="201" t="s">
        <v>84</v>
      </c>
      <c r="F46" s="202" t="s">
        <v>85</v>
      </c>
      <c r="G46" s="200" t="s">
        <v>330</v>
      </c>
      <c r="H46" s="223">
        <v>75</v>
      </c>
      <c r="I46" s="93" t="s">
        <v>360</v>
      </c>
      <c r="J46" s="226" t="s">
        <v>360</v>
      </c>
      <c r="K46" s="94">
        <v>0</v>
      </c>
      <c r="L46" s="95">
        <v>0</v>
      </c>
      <c r="M46" s="232">
        <v>0</v>
      </c>
      <c r="N46" s="94">
        <v>0</v>
      </c>
      <c r="O46" s="95">
        <v>0</v>
      </c>
      <c r="P46" s="229">
        <v>0</v>
      </c>
      <c r="Q46" s="95">
        <v>0</v>
      </c>
      <c r="R46" s="94">
        <v>0</v>
      </c>
      <c r="S46" s="204">
        <v>0</v>
      </c>
      <c r="T46" s="95">
        <v>0</v>
      </c>
      <c r="U46" s="94">
        <v>0</v>
      </c>
      <c r="V46" s="95">
        <v>0</v>
      </c>
      <c r="W46" s="94">
        <v>0</v>
      </c>
      <c r="X46" s="95">
        <v>0</v>
      </c>
      <c r="Y46" s="94">
        <v>0</v>
      </c>
      <c r="Z46" s="95">
        <v>0</v>
      </c>
      <c r="AA46" s="229">
        <v>0</v>
      </c>
      <c r="AB46" s="95">
        <v>0</v>
      </c>
      <c r="AC46" s="1"/>
      <c r="AD46" s="238">
        <f t="shared" si="3"/>
        <v>0</v>
      </c>
      <c r="AE46" s="239">
        <f t="shared" si="4"/>
        <v>0</v>
      </c>
      <c r="AF46" s="1"/>
      <c r="AG46" s="96">
        <f t="shared" si="5"/>
        <v>0</v>
      </c>
    </row>
    <row r="47" spans="2:33" ht="30" customHeight="1" x14ac:dyDescent="0.25">
      <c r="B47" s="214">
        <v>37</v>
      </c>
      <c r="C47" s="201" t="s">
        <v>192</v>
      </c>
      <c r="D47" s="203" t="s">
        <v>210</v>
      </c>
      <c r="E47" s="201" t="s">
        <v>293</v>
      </c>
      <c r="F47" s="202" t="s">
        <v>59</v>
      </c>
      <c r="G47" s="200" t="s">
        <v>330</v>
      </c>
      <c r="H47" s="223">
        <v>100</v>
      </c>
      <c r="I47" s="93" t="s">
        <v>360</v>
      </c>
      <c r="J47" s="226" t="s">
        <v>360</v>
      </c>
      <c r="K47" s="94">
        <v>0</v>
      </c>
      <c r="L47" s="95">
        <v>0</v>
      </c>
      <c r="M47" s="232">
        <v>0</v>
      </c>
      <c r="N47" s="94">
        <v>0</v>
      </c>
      <c r="O47" s="95">
        <v>0</v>
      </c>
      <c r="P47" s="229">
        <v>0</v>
      </c>
      <c r="Q47" s="95">
        <v>0</v>
      </c>
      <c r="R47" s="94">
        <v>0</v>
      </c>
      <c r="S47" s="204">
        <v>0</v>
      </c>
      <c r="T47" s="95">
        <v>0</v>
      </c>
      <c r="U47" s="94">
        <v>0</v>
      </c>
      <c r="V47" s="95">
        <v>0</v>
      </c>
      <c r="W47" s="94">
        <v>0</v>
      </c>
      <c r="X47" s="95">
        <v>0</v>
      </c>
      <c r="Y47" s="94">
        <v>0</v>
      </c>
      <c r="Z47" s="95">
        <v>0</v>
      </c>
      <c r="AA47" s="229">
        <v>0</v>
      </c>
      <c r="AB47" s="95">
        <v>0</v>
      </c>
      <c r="AC47" s="1"/>
      <c r="AD47" s="238">
        <f t="shared" si="3"/>
        <v>0</v>
      </c>
      <c r="AE47" s="239">
        <f t="shared" si="4"/>
        <v>0</v>
      </c>
      <c r="AF47" s="1"/>
      <c r="AG47" s="96">
        <f t="shared" si="5"/>
        <v>0</v>
      </c>
    </row>
    <row r="48" spans="2:33" ht="30" customHeight="1" x14ac:dyDescent="0.25">
      <c r="B48" s="214">
        <v>38</v>
      </c>
      <c r="C48" s="201" t="s">
        <v>193</v>
      </c>
      <c r="D48" s="203" t="s">
        <v>212</v>
      </c>
      <c r="E48" s="201" t="s">
        <v>326</v>
      </c>
      <c r="F48" s="202" t="s">
        <v>275</v>
      </c>
      <c r="G48" s="200" t="s">
        <v>330</v>
      </c>
      <c r="H48" s="223">
        <v>150</v>
      </c>
      <c r="I48" s="93" t="s">
        <v>360</v>
      </c>
      <c r="J48" s="226" t="s">
        <v>360</v>
      </c>
      <c r="K48" s="94">
        <v>0</v>
      </c>
      <c r="L48" s="95">
        <v>0</v>
      </c>
      <c r="M48" s="232">
        <v>0</v>
      </c>
      <c r="N48" s="94">
        <v>0</v>
      </c>
      <c r="O48" s="95">
        <v>0</v>
      </c>
      <c r="P48" s="229">
        <v>0</v>
      </c>
      <c r="Q48" s="95">
        <v>0</v>
      </c>
      <c r="R48" s="94">
        <v>0</v>
      </c>
      <c r="S48" s="204">
        <v>0</v>
      </c>
      <c r="T48" s="95">
        <v>0</v>
      </c>
      <c r="U48" s="94">
        <v>0</v>
      </c>
      <c r="V48" s="95">
        <v>0</v>
      </c>
      <c r="W48" s="94">
        <v>0</v>
      </c>
      <c r="X48" s="95">
        <v>0</v>
      </c>
      <c r="Y48" s="94">
        <v>0</v>
      </c>
      <c r="Z48" s="95">
        <v>0</v>
      </c>
      <c r="AA48" s="229">
        <v>0</v>
      </c>
      <c r="AB48" s="95">
        <v>0</v>
      </c>
      <c r="AC48" s="1"/>
      <c r="AD48" s="238">
        <f t="shared" si="3"/>
        <v>0</v>
      </c>
      <c r="AE48" s="239">
        <f t="shared" si="4"/>
        <v>0</v>
      </c>
      <c r="AF48" s="1"/>
      <c r="AG48" s="96">
        <f t="shared" si="5"/>
        <v>0</v>
      </c>
    </row>
    <row r="49" spans="2:33" ht="30" customHeight="1" x14ac:dyDescent="0.25">
      <c r="B49" s="214">
        <v>39</v>
      </c>
      <c r="C49" s="201" t="s">
        <v>156</v>
      </c>
      <c r="D49" s="203" t="s">
        <v>233</v>
      </c>
      <c r="E49" s="201" t="s">
        <v>326</v>
      </c>
      <c r="F49" s="202" t="s">
        <v>275</v>
      </c>
      <c r="G49" s="200" t="s">
        <v>330</v>
      </c>
      <c r="H49" s="223">
        <v>90</v>
      </c>
      <c r="I49" s="93" t="s">
        <v>360</v>
      </c>
      <c r="J49" s="226" t="s">
        <v>360</v>
      </c>
      <c r="K49" s="94">
        <v>0</v>
      </c>
      <c r="L49" s="95">
        <v>0</v>
      </c>
      <c r="M49" s="232">
        <v>0</v>
      </c>
      <c r="N49" s="94">
        <v>0</v>
      </c>
      <c r="O49" s="95">
        <v>0</v>
      </c>
      <c r="P49" s="229">
        <v>0</v>
      </c>
      <c r="Q49" s="95">
        <v>0</v>
      </c>
      <c r="R49" s="94">
        <v>0</v>
      </c>
      <c r="S49" s="204">
        <v>0</v>
      </c>
      <c r="T49" s="95">
        <v>0</v>
      </c>
      <c r="U49" s="94">
        <v>0</v>
      </c>
      <c r="V49" s="95">
        <v>0</v>
      </c>
      <c r="W49" s="94">
        <v>0</v>
      </c>
      <c r="X49" s="95">
        <v>0</v>
      </c>
      <c r="Y49" s="94">
        <v>0</v>
      </c>
      <c r="Z49" s="95">
        <v>0</v>
      </c>
      <c r="AA49" s="229">
        <v>0</v>
      </c>
      <c r="AB49" s="95">
        <v>0</v>
      </c>
      <c r="AC49" s="1"/>
      <c r="AD49" s="238">
        <f t="shared" si="3"/>
        <v>0</v>
      </c>
      <c r="AE49" s="239">
        <f t="shared" si="4"/>
        <v>0</v>
      </c>
      <c r="AF49" s="1"/>
      <c r="AG49" s="96">
        <f t="shared" si="5"/>
        <v>0</v>
      </c>
    </row>
    <row r="50" spans="2:33" ht="30" customHeight="1" x14ac:dyDescent="0.25">
      <c r="B50" s="214">
        <v>40</v>
      </c>
      <c r="C50" s="201" t="s">
        <v>156</v>
      </c>
      <c r="D50" s="203" t="s">
        <v>234</v>
      </c>
      <c r="E50" s="201" t="s">
        <v>327</v>
      </c>
      <c r="F50" s="202" t="s">
        <v>59</v>
      </c>
      <c r="G50" s="200" t="s">
        <v>330</v>
      </c>
      <c r="H50" s="223">
        <v>64</v>
      </c>
      <c r="I50" s="93" t="s">
        <v>360</v>
      </c>
      <c r="J50" s="226" t="s">
        <v>360</v>
      </c>
      <c r="K50" s="94">
        <v>0</v>
      </c>
      <c r="L50" s="95">
        <v>0</v>
      </c>
      <c r="M50" s="232">
        <v>0</v>
      </c>
      <c r="N50" s="94">
        <v>0</v>
      </c>
      <c r="O50" s="95">
        <v>0</v>
      </c>
      <c r="P50" s="229">
        <v>0</v>
      </c>
      <c r="Q50" s="95">
        <v>0</v>
      </c>
      <c r="R50" s="94">
        <v>0</v>
      </c>
      <c r="S50" s="204">
        <v>0</v>
      </c>
      <c r="T50" s="95">
        <v>0</v>
      </c>
      <c r="U50" s="94">
        <v>0</v>
      </c>
      <c r="V50" s="95">
        <v>0</v>
      </c>
      <c r="W50" s="94">
        <v>0</v>
      </c>
      <c r="X50" s="95">
        <v>0</v>
      </c>
      <c r="Y50" s="94">
        <v>0</v>
      </c>
      <c r="Z50" s="95">
        <v>0</v>
      </c>
      <c r="AA50" s="229">
        <v>0</v>
      </c>
      <c r="AB50" s="95">
        <v>0</v>
      </c>
      <c r="AC50" s="1"/>
      <c r="AD50" s="238">
        <f t="shared" si="3"/>
        <v>0</v>
      </c>
      <c r="AE50" s="239">
        <f t="shared" si="4"/>
        <v>0</v>
      </c>
      <c r="AF50" s="1"/>
      <c r="AG50" s="96">
        <f t="shared" si="5"/>
        <v>0</v>
      </c>
    </row>
    <row r="51" spans="2:33" ht="30" customHeight="1" x14ac:dyDescent="0.25">
      <c r="B51" s="214">
        <v>41</v>
      </c>
      <c r="C51" s="201" t="s">
        <v>194</v>
      </c>
      <c r="D51" s="203" t="s">
        <v>273</v>
      </c>
      <c r="E51" s="201" t="s">
        <v>299</v>
      </c>
      <c r="F51" s="202" t="s">
        <v>279</v>
      </c>
      <c r="G51" s="200" t="s">
        <v>330</v>
      </c>
      <c r="H51" s="223">
        <v>60</v>
      </c>
      <c r="I51" s="93" t="s">
        <v>360</v>
      </c>
      <c r="J51" s="226" t="s">
        <v>360</v>
      </c>
      <c r="K51" s="94">
        <v>0</v>
      </c>
      <c r="L51" s="95">
        <v>0</v>
      </c>
      <c r="M51" s="232">
        <v>0</v>
      </c>
      <c r="N51" s="94">
        <v>0</v>
      </c>
      <c r="O51" s="95">
        <v>0</v>
      </c>
      <c r="P51" s="229">
        <v>0</v>
      </c>
      <c r="Q51" s="95">
        <v>0</v>
      </c>
      <c r="R51" s="94">
        <v>0</v>
      </c>
      <c r="S51" s="204">
        <v>0</v>
      </c>
      <c r="T51" s="95">
        <v>0</v>
      </c>
      <c r="U51" s="94">
        <v>0</v>
      </c>
      <c r="V51" s="95">
        <v>0</v>
      </c>
      <c r="W51" s="94">
        <v>0</v>
      </c>
      <c r="X51" s="95">
        <v>0</v>
      </c>
      <c r="Y51" s="94">
        <v>0</v>
      </c>
      <c r="Z51" s="95">
        <v>0</v>
      </c>
      <c r="AA51" s="229">
        <v>0</v>
      </c>
      <c r="AB51" s="95">
        <v>0</v>
      </c>
      <c r="AC51" s="1"/>
      <c r="AD51" s="238">
        <f t="shared" si="3"/>
        <v>0</v>
      </c>
      <c r="AE51" s="239">
        <f t="shared" si="4"/>
        <v>0</v>
      </c>
      <c r="AF51" s="1"/>
      <c r="AG51" s="96">
        <f t="shared" si="5"/>
        <v>0</v>
      </c>
    </row>
    <row r="52" spans="2:33" ht="30" customHeight="1" x14ac:dyDescent="0.25">
      <c r="B52" s="214">
        <v>42</v>
      </c>
      <c r="C52" s="201" t="s">
        <v>158</v>
      </c>
      <c r="D52" s="203" t="s">
        <v>231</v>
      </c>
      <c r="E52" s="201" t="s">
        <v>320</v>
      </c>
      <c r="F52" s="202" t="s">
        <v>85</v>
      </c>
      <c r="G52" s="200" t="s">
        <v>330</v>
      </c>
      <c r="H52" s="223">
        <v>60</v>
      </c>
      <c r="I52" s="93" t="s">
        <v>360</v>
      </c>
      <c r="J52" s="226" t="s">
        <v>360</v>
      </c>
      <c r="K52" s="94">
        <v>0</v>
      </c>
      <c r="L52" s="95">
        <v>0</v>
      </c>
      <c r="M52" s="232">
        <v>0</v>
      </c>
      <c r="N52" s="94">
        <v>0</v>
      </c>
      <c r="O52" s="95">
        <v>0</v>
      </c>
      <c r="P52" s="229">
        <v>0</v>
      </c>
      <c r="Q52" s="95">
        <v>0</v>
      </c>
      <c r="R52" s="94">
        <v>0</v>
      </c>
      <c r="S52" s="204">
        <v>0</v>
      </c>
      <c r="T52" s="95">
        <v>0</v>
      </c>
      <c r="U52" s="94">
        <v>0</v>
      </c>
      <c r="V52" s="95">
        <v>0</v>
      </c>
      <c r="W52" s="94">
        <v>0</v>
      </c>
      <c r="X52" s="95">
        <v>0</v>
      </c>
      <c r="Y52" s="94">
        <v>0</v>
      </c>
      <c r="Z52" s="95">
        <v>0</v>
      </c>
      <c r="AA52" s="229">
        <v>0</v>
      </c>
      <c r="AB52" s="95">
        <v>0</v>
      </c>
      <c r="AC52" s="1"/>
      <c r="AD52" s="238">
        <f t="shared" si="3"/>
        <v>0</v>
      </c>
      <c r="AE52" s="239">
        <f t="shared" si="4"/>
        <v>0</v>
      </c>
      <c r="AF52" s="1"/>
      <c r="AG52" s="96">
        <f t="shared" si="5"/>
        <v>0</v>
      </c>
    </row>
    <row r="53" spans="2:33" ht="30" customHeight="1" x14ac:dyDescent="0.25">
      <c r="B53" s="214">
        <v>43</v>
      </c>
      <c r="C53" s="201" t="s">
        <v>157</v>
      </c>
      <c r="D53" s="203" t="s">
        <v>244</v>
      </c>
      <c r="E53" s="201" t="s">
        <v>324</v>
      </c>
      <c r="F53" s="202" t="s">
        <v>85</v>
      </c>
      <c r="G53" s="200" t="s">
        <v>330</v>
      </c>
      <c r="H53" s="223">
        <v>226</v>
      </c>
      <c r="I53" s="93" t="s">
        <v>360</v>
      </c>
      <c r="J53" s="226" t="s">
        <v>360</v>
      </c>
      <c r="K53" s="94">
        <v>0</v>
      </c>
      <c r="L53" s="95">
        <v>0</v>
      </c>
      <c r="M53" s="232">
        <v>0</v>
      </c>
      <c r="N53" s="94">
        <v>0</v>
      </c>
      <c r="O53" s="95">
        <v>0</v>
      </c>
      <c r="P53" s="229">
        <v>0</v>
      </c>
      <c r="Q53" s="95">
        <v>0</v>
      </c>
      <c r="R53" s="94">
        <v>0</v>
      </c>
      <c r="S53" s="204">
        <v>0</v>
      </c>
      <c r="T53" s="95">
        <v>0</v>
      </c>
      <c r="U53" s="94">
        <v>0</v>
      </c>
      <c r="V53" s="95">
        <v>0</v>
      </c>
      <c r="W53" s="94">
        <v>0</v>
      </c>
      <c r="X53" s="95">
        <v>0</v>
      </c>
      <c r="Y53" s="94">
        <v>0</v>
      </c>
      <c r="Z53" s="95">
        <v>0</v>
      </c>
      <c r="AA53" s="229">
        <v>0</v>
      </c>
      <c r="AB53" s="95">
        <v>0</v>
      </c>
      <c r="AC53" s="1"/>
      <c r="AD53" s="238">
        <f t="shared" si="3"/>
        <v>0</v>
      </c>
      <c r="AE53" s="239">
        <f t="shared" si="4"/>
        <v>0</v>
      </c>
      <c r="AF53" s="1"/>
      <c r="AG53" s="96">
        <f t="shared" si="5"/>
        <v>0</v>
      </c>
    </row>
    <row r="54" spans="2:33" ht="30" customHeight="1" x14ac:dyDescent="0.25">
      <c r="B54" s="214">
        <v>44</v>
      </c>
      <c r="C54" s="201" t="s">
        <v>177</v>
      </c>
      <c r="D54" s="203" t="s">
        <v>220</v>
      </c>
      <c r="E54" s="201" t="s">
        <v>313</v>
      </c>
      <c r="F54" s="202" t="s">
        <v>64</v>
      </c>
      <c r="G54" s="200" t="s">
        <v>330</v>
      </c>
      <c r="H54" s="223">
        <v>102.11</v>
      </c>
      <c r="I54" s="93" t="s">
        <v>360</v>
      </c>
      <c r="J54" s="226" t="s">
        <v>360</v>
      </c>
      <c r="K54" s="94">
        <v>0</v>
      </c>
      <c r="L54" s="95">
        <v>0</v>
      </c>
      <c r="M54" s="232">
        <v>0</v>
      </c>
      <c r="N54" s="94">
        <v>0</v>
      </c>
      <c r="O54" s="95">
        <v>0</v>
      </c>
      <c r="P54" s="229">
        <v>0</v>
      </c>
      <c r="Q54" s="95">
        <v>0</v>
      </c>
      <c r="R54" s="94">
        <v>0</v>
      </c>
      <c r="S54" s="204">
        <v>0</v>
      </c>
      <c r="T54" s="95">
        <v>0</v>
      </c>
      <c r="U54" s="94">
        <v>0</v>
      </c>
      <c r="V54" s="95">
        <v>0</v>
      </c>
      <c r="W54" s="94">
        <v>0</v>
      </c>
      <c r="X54" s="95">
        <v>0</v>
      </c>
      <c r="Y54" s="94">
        <v>0</v>
      </c>
      <c r="Z54" s="95">
        <v>0</v>
      </c>
      <c r="AA54" s="229">
        <v>0</v>
      </c>
      <c r="AB54" s="95">
        <v>0</v>
      </c>
      <c r="AC54" s="1"/>
      <c r="AD54" s="238">
        <f t="shared" si="3"/>
        <v>0</v>
      </c>
      <c r="AE54" s="239">
        <f t="shared" si="4"/>
        <v>0</v>
      </c>
      <c r="AF54" s="1"/>
      <c r="AG54" s="96">
        <f t="shared" si="5"/>
        <v>0</v>
      </c>
    </row>
    <row r="55" spans="2:33" ht="30" customHeight="1" x14ac:dyDescent="0.25">
      <c r="B55" s="214">
        <v>45</v>
      </c>
      <c r="C55" s="201" t="s">
        <v>203</v>
      </c>
      <c r="D55" s="203" t="s">
        <v>211</v>
      </c>
      <c r="E55" s="201" t="s">
        <v>306</v>
      </c>
      <c r="F55" s="202" t="s">
        <v>274</v>
      </c>
      <c r="G55" s="200" t="s">
        <v>330</v>
      </c>
      <c r="H55" s="223">
        <v>250</v>
      </c>
      <c r="I55" s="93" t="s">
        <v>360</v>
      </c>
      <c r="J55" s="226" t="s">
        <v>360</v>
      </c>
      <c r="K55" s="94">
        <v>0</v>
      </c>
      <c r="L55" s="95">
        <v>0</v>
      </c>
      <c r="M55" s="232">
        <v>0</v>
      </c>
      <c r="N55" s="94">
        <v>0</v>
      </c>
      <c r="O55" s="95">
        <v>0</v>
      </c>
      <c r="P55" s="229">
        <v>0</v>
      </c>
      <c r="Q55" s="95">
        <v>0</v>
      </c>
      <c r="R55" s="94">
        <v>0</v>
      </c>
      <c r="S55" s="204">
        <v>0</v>
      </c>
      <c r="T55" s="95">
        <v>0</v>
      </c>
      <c r="U55" s="94">
        <v>0</v>
      </c>
      <c r="V55" s="95">
        <v>0</v>
      </c>
      <c r="W55" s="94">
        <v>0</v>
      </c>
      <c r="X55" s="95">
        <v>0</v>
      </c>
      <c r="Y55" s="94">
        <v>0</v>
      </c>
      <c r="Z55" s="95">
        <v>0</v>
      </c>
      <c r="AA55" s="229">
        <v>0</v>
      </c>
      <c r="AB55" s="95">
        <v>0</v>
      </c>
      <c r="AC55" s="1"/>
      <c r="AD55" s="238">
        <f t="shared" si="3"/>
        <v>0</v>
      </c>
      <c r="AE55" s="239">
        <f t="shared" si="4"/>
        <v>0</v>
      </c>
      <c r="AF55" s="1"/>
      <c r="AG55" s="96">
        <f t="shared" si="5"/>
        <v>0</v>
      </c>
    </row>
    <row r="56" spans="2:33" ht="30" customHeight="1" x14ac:dyDescent="0.25">
      <c r="B56" s="214">
        <v>46</v>
      </c>
      <c r="C56" s="201" t="s">
        <v>178</v>
      </c>
      <c r="D56" s="203" t="s">
        <v>245</v>
      </c>
      <c r="E56" s="201" t="s">
        <v>313</v>
      </c>
      <c r="F56" s="202" t="s">
        <v>64</v>
      </c>
      <c r="G56" s="200" t="s">
        <v>330</v>
      </c>
      <c r="H56" s="223">
        <v>74.7</v>
      </c>
      <c r="I56" s="93" t="s">
        <v>360</v>
      </c>
      <c r="J56" s="226" t="s">
        <v>360</v>
      </c>
      <c r="K56" s="94">
        <v>0</v>
      </c>
      <c r="L56" s="95">
        <v>0</v>
      </c>
      <c r="M56" s="232">
        <v>0</v>
      </c>
      <c r="N56" s="94">
        <v>0</v>
      </c>
      <c r="O56" s="95">
        <v>0</v>
      </c>
      <c r="P56" s="229">
        <v>0</v>
      </c>
      <c r="Q56" s="95">
        <v>0</v>
      </c>
      <c r="R56" s="94">
        <v>0</v>
      </c>
      <c r="S56" s="204">
        <v>0</v>
      </c>
      <c r="T56" s="95">
        <v>0</v>
      </c>
      <c r="U56" s="94">
        <v>0</v>
      </c>
      <c r="V56" s="95">
        <v>0</v>
      </c>
      <c r="W56" s="94">
        <v>0</v>
      </c>
      <c r="X56" s="95">
        <v>0</v>
      </c>
      <c r="Y56" s="94">
        <v>0</v>
      </c>
      <c r="Z56" s="95">
        <v>0</v>
      </c>
      <c r="AA56" s="229">
        <v>0</v>
      </c>
      <c r="AB56" s="95">
        <v>0</v>
      </c>
      <c r="AC56" s="1"/>
      <c r="AD56" s="238">
        <f t="shared" si="3"/>
        <v>0</v>
      </c>
      <c r="AE56" s="239">
        <f t="shared" si="4"/>
        <v>0</v>
      </c>
      <c r="AF56" s="1"/>
      <c r="AG56" s="96">
        <f t="shared" si="5"/>
        <v>0</v>
      </c>
    </row>
    <row r="57" spans="2:33" ht="30" customHeight="1" x14ac:dyDescent="0.25">
      <c r="B57" s="214">
        <v>47</v>
      </c>
      <c r="C57" s="201" t="s">
        <v>184</v>
      </c>
      <c r="D57" s="203" t="s">
        <v>249</v>
      </c>
      <c r="E57" s="201" t="s">
        <v>309</v>
      </c>
      <c r="F57" s="202" t="s">
        <v>274</v>
      </c>
      <c r="G57" s="200" t="s">
        <v>331</v>
      </c>
      <c r="H57" s="223">
        <v>102</v>
      </c>
      <c r="I57" s="93" t="s">
        <v>360</v>
      </c>
      <c r="J57" s="226" t="s">
        <v>360</v>
      </c>
      <c r="K57" s="94">
        <v>0</v>
      </c>
      <c r="L57" s="95">
        <v>0</v>
      </c>
      <c r="M57" s="232">
        <v>0</v>
      </c>
      <c r="N57" s="94">
        <v>0</v>
      </c>
      <c r="O57" s="95">
        <v>0</v>
      </c>
      <c r="P57" s="229">
        <v>0</v>
      </c>
      <c r="Q57" s="95">
        <v>0</v>
      </c>
      <c r="R57" s="94">
        <v>0</v>
      </c>
      <c r="S57" s="204">
        <v>0</v>
      </c>
      <c r="T57" s="95">
        <v>0</v>
      </c>
      <c r="U57" s="94">
        <v>0</v>
      </c>
      <c r="V57" s="95">
        <v>0</v>
      </c>
      <c r="W57" s="94">
        <v>0</v>
      </c>
      <c r="X57" s="95">
        <v>0</v>
      </c>
      <c r="Y57" s="94">
        <v>0</v>
      </c>
      <c r="Z57" s="95">
        <v>0</v>
      </c>
      <c r="AA57" s="229">
        <v>0</v>
      </c>
      <c r="AB57" s="95">
        <v>0</v>
      </c>
      <c r="AC57" s="1"/>
      <c r="AD57" s="238">
        <f t="shared" si="3"/>
        <v>0</v>
      </c>
      <c r="AE57" s="239">
        <f t="shared" si="4"/>
        <v>0</v>
      </c>
      <c r="AF57" s="1"/>
      <c r="AG57" s="96">
        <f t="shared" si="5"/>
        <v>0</v>
      </c>
    </row>
    <row r="58" spans="2:33" ht="30" customHeight="1" x14ac:dyDescent="0.25">
      <c r="B58" s="214">
        <v>48</v>
      </c>
      <c r="C58" s="201" t="s">
        <v>195</v>
      </c>
      <c r="D58" s="203" t="s">
        <v>272</v>
      </c>
      <c r="E58" s="201" t="s">
        <v>287</v>
      </c>
      <c r="F58" s="202" t="s">
        <v>278</v>
      </c>
      <c r="G58" s="200" t="s">
        <v>330</v>
      </c>
      <c r="H58" s="223">
        <v>150</v>
      </c>
      <c r="I58" s="93" t="s">
        <v>360</v>
      </c>
      <c r="J58" s="226" t="s">
        <v>360</v>
      </c>
      <c r="K58" s="94">
        <v>0</v>
      </c>
      <c r="L58" s="95">
        <v>0</v>
      </c>
      <c r="M58" s="232">
        <v>0</v>
      </c>
      <c r="N58" s="94">
        <v>0</v>
      </c>
      <c r="O58" s="95">
        <v>0</v>
      </c>
      <c r="P58" s="229">
        <v>0</v>
      </c>
      <c r="Q58" s="95">
        <v>0</v>
      </c>
      <c r="R58" s="94">
        <v>0</v>
      </c>
      <c r="S58" s="204">
        <v>0</v>
      </c>
      <c r="T58" s="95">
        <v>0</v>
      </c>
      <c r="U58" s="94">
        <v>0</v>
      </c>
      <c r="V58" s="95">
        <v>0</v>
      </c>
      <c r="W58" s="94">
        <v>0</v>
      </c>
      <c r="X58" s="95">
        <v>0</v>
      </c>
      <c r="Y58" s="94">
        <v>0</v>
      </c>
      <c r="Z58" s="95">
        <v>0</v>
      </c>
      <c r="AA58" s="229">
        <v>0</v>
      </c>
      <c r="AB58" s="95">
        <v>0</v>
      </c>
      <c r="AC58" s="1"/>
      <c r="AD58" s="238">
        <f t="shared" si="3"/>
        <v>0</v>
      </c>
      <c r="AE58" s="239">
        <f t="shared" si="4"/>
        <v>0</v>
      </c>
      <c r="AF58" s="1"/>
      <c r="AG58" s="96">
        <f t="shared" si="5"/>
        <v>0</v>
      </c>
    </row>
    <row r="59" spans="2:33" ht="30" customHeight="1" x14ac:dyDescent="0.25">
      <c r="B59" s="214">
        <v>49</v>
      </c>
      <c r="C59" s="201" t="s">
        <v>184</v>
      </c>
      <c r="D59" s="203" t="s">
        <v>250</v>
      </c>
      <c r="E59" s="201" t="s">
        <v>288</v>
      </c>
      <c r="F59" s="202" t="s">
        <v>278</v>
      </c>
      <c r="G59" s="200" t="s">
        <v>330</v>
      </c>
      <c r="H59" s="223">
        <v>100</v>
      </c>
      <c r="I59" s="93" t="s">
        <v>360</v>
      </c>
      <c r="J59" s="226" t="s">
        <v>360</v>
      </c>
      <c r="K59" s="94">
        <v>0</v>
      </c>
      <c r="L59" s="95">
        <v>0</v>
      </c>
      <c r="M59" s="232">
        <v>0</v>
      </c>
      <c r="N59" s="94">
        <v>0</v>
      </c>
      <c r="O59" s="95">
        <v>0</v>
      </c>
      <c r="P59" s="229">
        <v>0</v>
      </c>
      <c r="Q59" s="95">
        <v>0</v>
      </c>
      <c r="R59" s="94">
        <v>0</v>
      </c>
      <c r="S59" s="204">
        <v>0</v>
      </c>
      <c r="T59" s="95">
        <v>0</v>
      </c>
      <c r="U59" s="94">
        <v>0</v>
      </c>
      <c r="V59" s="95">
        <v>0</v>
      </c>
      <c r="W59" s="94">
        <v>0</v>
      </c>
      <c r="X59" s="95">
        <v>0</v>
      </c>
      <c r="Y59" s="94">
        <v>0</v>
      </c>
      <c r="Z59" s="95">
        <v>0</v>
      </c>
      <c r="AA59" s="229">
        <v>0</v>
      </c>
      <c r="AB59" s="95">
        <v>0</v>
      </c>
      <c r="AC59" s="1"/>
      <c r="AD59" s="238">
        <f t="shared" si="3"/>
        <v>0</v>
      </c>
      <c r="AE59" s="239">
        <f t="shared" si="4"/>
        <v>0</v>
      </c>
      <c r="AF59" s="1"/>
      <c r="AG59" s="96">
        <f t="shared" si="5"/>
        <v>0</v>
      </c>
    </row>
    <row r="60" spans="2:33" ht="30" customHeight="1" x14ac:dyDescent="0.25">
      <c r="B60" s="214">
        <v>50</v>
      </c>
      <c r="C60" s="201" t="s">
        <v>179</v>
      </c>
      <c r="D60" s="203" t="s">
        <v>238</v>
      </c>
      <c r="E60" s="201" t="s">
        <v>317</v>
      </c>
      <c r="F60" s="202" t="s">
        <v>64</v>
      </c>
      <c r="G60" s="200" t="s">
        <v>330</v>
      </c>
      <c r="H60" s="223">
        <v>100.2</v>
      </c>
      <c r="I60" s="93" t="s">
        <v>360</v>
      </c>
      <c r="J60" s="226" t="s">
        <v>360</v>
      </c>
      <c r="K60" s="94">
        <v>0</v>
      </c>
      <c r="L60" s="95">
        <v>0</v>
      </c>
      <c r="M60" s="232">
        <v>0</v>
      </c>
      <c r="N60" s="94">
        <v>0</v>
      </c>
      <c r="O60" s="95">
        <v>0</v>
      </c>
      <c r="P60" s="229">
        <v>0</v>
      </c>
      <c r="Q60" s="95">
        <v>0</v>
      </c>
      <c r="R60" s="94">
        <v>0</v>
      </c>
      <c r="S60" s="204">
        <v>0</v>
      </c>
      <c r="T60" s="95">
        <v>0</v>
      </c>
      <c r="U60" s="94">
        <v>0</v>
      </c>
      <c r="V60" s="95">
        <v>0</v>
      </c>
      <c r="W60" s="94">
        <v>0</v>
      </c>
      <c r="X60" s="95">
        <v>0</v>
      </c>
      <c r="Y60" s="94">
        <v>0</v>
      </c>
      <c r="Z60" s="95">
        <v>0</v>
      </c>
      <c r="AA60" s="229">
        <v>0</v>
      </c>
      <c r="AB60" s="95">
        <v>0</v>
      </c>
      <c r="AC60" s="1"/>
      <c r="AD60" s="238">
        <f t="shared" si="3"/>
        <v>0</v>
      </c>
      <c r="AE60" s="239">
        <f t="shared" si="4"/>
        <v>0</v>
      </c>
      <c r="AF60" s="1"/>
      <c r="AG60" s="96">
        <f t="shared" si="5"/>
        <v>0</v>
      </c>
    </row>
    <row r="61" spans="2:33" ht="30" customHeight="1" x14ac:dyDescent="0.25">
      <c r="B61" s="214">
        <v>51</v>
      </c>
      <c r="C61" s="201" t="s">
        <v>204</v>
      </c>
      <c r="D61" s="203" t="s">
        <v>227</v>
      </c>
      <c r="E61" s="201" t="s">
        <v>315</v>
      </c>
      <c r="F61" s="202" t="s">
        <v>64</v>
      </c>
      <c r="G61" s="200" t="s">
        <v>330</v>
      </c>
      <c r="H61" s="223">
        <v>150</v>
      </c>
      <c r="I61" s="93" t="s">
        <v>360</v>
      </c>
      <c r="J61" s="226" t="s">
        <v>360</v>
      </c>
      <c r="K61" s="94">
        <v>0</v>
      </c>
      <c r="L61" s="95">
        <v>0</v>
      </c>
      <c r="M61" s="232">
        <v>0</v>
      </c>
      <c r="N61" s="94">
        <v>0</v>
      </c>
      <c r="O61" s="95">
        <v>0</v>
      </c>
      <c r="P61" s="229">
        <v>0</v>
      </c>
      <c r="Q61" s="95">
        <v>0</v>
      </c>
      <c r="R61" s="94">
        <v>0</v>
      </c>
      <c r="S61" s="204">
        <v>0</v>
      </c>
      <c r="T61" s="95">
        <v>0</v>
      </c>
      <c r="U61" s="94">
        <v>0</v>
      </c>
      <c r="V61" s="95">
        <v>0</v>
      </c>
      <c r="W61" s="94">
        <v>0</v>
      </c>
      <c r="X61" s="95">
        <v>0</v>
      </c>
      <c r="Y61" s="94">
        <v>0</v>
      </c>
      <c r="Z61" s="95">
        <v>0</v>
      </c>
      <c r="AA61" s="229">
        <v>0</v>
      </c>
      <c r="AB61" s="95">
        <v>0</v>
      </c>
      <c r="AC61" s="1"/>
      <c r="AD61" s="238">
        <f t="shared" si="3"/>
        <v>0</v>
      </c>
      <c r="AE61" s="239">
        <f t="shared" si="4"/>
        <v>0</v>
      </c>
      <c r="AF61" s="1"/>
      <c r="AG61" s="96">
        <f t="shared" si="5"/>
        <v>0</v>
      </c>
    </row>
    <row r="62" spans="2:33" ht="30" customHeight="1" x14ac:dyDescent="0.25">
      <c r="B62" s="214">
        <v>52</v>
      </c>
      <c r="C62" s="201" t="s">
        <v>180</v>
      </c>
      <c r="D62" s="203" t="s">
        <v>239</v>
      </c>
      <c r="E62" s="201" t="s">
        <v>307</v>
      </c>
      <c r="F62" s="202" t="s">
        <v>274</v>
      </c>
      <c r="G62" s="200" t="s">
        <v>330</v>
      </c>
      <c r="H62" s="223">
        <v>80</v>
      </c>
      <c r="I62" s="93" t="s">
        <v>360</v>
      </c>
      <c r="J62" s="226" t="s">
        <v>360</v>
      </c>
      <c r="K62" s="94">
        <v>0</v>
      </c>
      <c r="L62" s="95">
        <v>0</v>
      </c>
      <c r="M62" s="232">
        <v>0</v>
      </c>
      <c r="N62" s="94">
        <v>0</v>
      </c>
      <c r="O62" s="95">
        <v>0</v>
      </c>
      <c r="P62" s="229">
        <v>0</v>
      </c>
      <c r="Q62" s="95">
        <v>0</v>
      </c>
      <c r="R62" s="94">
        <v>0</v>
      </c>
      <c r="S62" s="204">
        <v>0</v>
      </c>
      <c r="T62" s="95">
        <v>0</v>
      </c>
      <c r="U62" s="94">
        <v>0</v>
      </c>
      <c r="V62" s="95">
        <v>0</v>
      </c>
      <c r="W62" s="94">
        <v>0</v>
      </c>
      <c r="X62" s="95">
        <v>0</v>
      </c>
      <c r="Y62" s="94">
        <v>0</v>
      </c>
      <c r="Z62" s="95">
        <v>0</v>
      </c>
      <c r="AA62" s="229">
        <v>0</v>
      </c>
      <c r="AB62" s="95">
        <v>0</v>
      </c>
      <c r="AC62" s="1"/>
      <c r="AD62" s="238">
        <f t="shared" si="3"/>
        <v>0</v>
      </c>
      <c r="AE62" s="239">
        <f t="shared" si="4"/>
        <v>0</v>
      </c>
      <c r="AF62" s="1"/>
      <c r="AG62" s="96">
        <f t="shared" si="5"/>
        <v>0</v>
      </c>
    </row>
    <row r="63" spans="2:33" ht="30" customHeight="1" x14ac:dyDescent="0.25">
      <c r="B63" s="214">
        <v>53</v>
      </c>
      <c r="C63" s="201" t="s">
        <v>196</v>
      </c>
      <c r="D63" s="203" t="s">
        <v>213</v>
      </c>
      <c r="E63" s="201" t="s">
        <v>311</v>
      </c>
      <c r="F63" s="202" t="s">
        <v>89</v>
      </c>
      <c r="G63" s="200" t="s">
        <v>330</v>
      </c>
      <c r="H63" s="223">
        <v>150</v>
      </c>
      <c r="I63" s="93" t="s">
        <v>360</v>
      </c>
      <c r="J63" s="226" t="s">
        <v>360</v>
      </c>
      <c r="K63" s="94">
        <v>0</v>
      </c>
      <c r="L63" s="95">
        <v>0</v>
      </c>
      <c r="M63" s="232">
        <v>0</v>
      </c>
      <c r="N63" s="94">
        <v>0</v>
      </c>
      <c r="O63" s="95">
        <v>0</v>
      </c>
      <c r="P63" s="229">
        <v>0</v>
      </c>
      <c r="Q63" s="95">
        <v>0</v>
      </c>
      <c r="R63" s="94">
        <v>0</v>
      </c>
      <c r="S63" s="204">
        <v>0</v>
      </c>
      <c r="T63" s="95">
        <v>0</v>
      </c>
      <c r="U63" s="94">
        <v>0</v>
      </c>
      <c r="V63" s="95">
        <v>0</v>
      </c>
      <c r="W63" s="94">
        <v>0</v>
      </c>
      <c r="X63" s="95">
        <v>0</v>
      </c>
      <c r="Y63" s="94">
        <v>0</v>
      </c>
      <c r="Z63" s="95">
        <v>0</v>
      </c>
      <c r="AA63" s="229">
        <v>0</v>
      </c>
      <c r="AB63" s="95">
        <v>0</v>
      </c>
      <c r="AC63" s="1"/>
      <c r="AD63" s="238">
        <f t="shared" si="3"/>
        <v>0</v>
      </c>
      <c r="AE63" s="239">
        <f t="shared" si="4"/>
        <v>0</v>
      </c>
      <c r="AF63" s="1"/>
      <c r="AG63" s="96">
        <f t="shared" si="5"/>
        <v>0</v>
      </c>
    </row>
    <row r="64" spans="2:33" ht="30" customHeight="1" x14ac:dyDescent="0.25">
      <c r="B64" s="214">
        <v>54</v>
      </c>
      <c r="C64" s="201" t="s">
        <v>197</v>
      </c>
      <c r="D64" s="203" t="s">
        <v>252</v>
      </c>
      <c r="E64" s="201" t="s">
        <v>312</v>
      </c>
      <c r="F64" s="202" t="s">
        <v>89</v>
      </c>
      <c r="G64" s="200" t="s">
        <v>330</v>
      </c>
      <c r="H64" s="223">
        <v>150</v>
      </c>
      <c r="I64" s="93" t="s">
        <v>360</v>
      </c>
      <c r="J64" s="226" t="s">
        <v>360</v>
      </c>
      <c r="K64" s="94">
        <v>0</v>
      </c>
      <c r="L64" s="95">
        <v>0</v>
      </c>
      <c r="M64" s="232">
        <v>0</v>
      </c>
      <c r="N64" s="94">
        <v>0</v>
      </c>
      <c r="O64" s="95">
        <v>0</v>
      </c>
      <c r="P64" s="229">
        <v>0</v>
      </c>
      <c r="Q64" s="95">
        <v>0</v>
      </c>
      <c r="R64" s="94">
        <v>0</v>
      </c>
      <c r="S64" s="204">
        <v>0</v>
      </c>
      <c r="T64" s="95">
        <v>0</v>
      </c>
      <c r="U64" s="94">
        <v>0</v>
      </c>
      <c r="V64" s="95">
        <v>0</v>
      </c>
      <c r="W64" s="94">
        <v>0</v>
      </c>
      <c r="X64" s="95">
        <v>0</v>
      </c>
      <c r="Y64" s="94">
        <v>0</v>
      </c>
      <c r="Z64" s="95">
        <v>0</v>
      </c>
      <c r="AA64" s="229">
        <v>0</v>
      </c>
      <c r="AB64" s="95">
        <v>0</v>
      </c>
      <c r="AC64" s="1"/>
      <c r="AD64" s="238">
        <f t="shared" si="3"/>
        <v>0</v>
      </c>
      <c r="AE64" s="239">
        <f t="shared" si="4"/>
        <v>0</v>
      </c>
      <c r="AF64" s="1"/>
      <c r="AG64" s="96">
        <f t="shared" si="5"/>
        <v>0</v>
      </c>
    </row>
    <row r="65" spans="2:33" ht="30" customHeight="1" x14ac:dyDescent="0.25">
      <c r="B65" s="214">
        <v>55</v>
      </c>
      <c r="C65" s="201" t="s">
        <v>205</v>
      </c>
      <c r="D65" s="203" t="s">
        <v>271</v>
      </c>
      <c r="E65" s="201" t="s">
        <v>314</v>
      </c>
      <c r="F65" s="202" t="s">
        <v>64</v>
      </c>
      <c r="G65" s="200" t="s">
        <v>330</v>
      </c>
      <c r="H65" s="223">
        <v>65</v>
      </c>
      <c r="I65" s="93" t="s">
        <v>360</v>
      </c>
      <c r="J65" s="226" t="s">
        <v>360</v>
      </c>
      <c r="K65" s="94">
        <v>0</v>
      </c>
      <c r="L65" s="95">
        <v>0</v>
      </c>
      <c r="M65" s="232">
        <v>0</v>
      </c>
      <c r="N65" s="94">
        <v>0</v>
      </c>
      <c r="O65" s="95">
        <v>0</v>
      </c>
      <c r="P65" s="229">
        <v>0</v>
      </c>
      <c r="Q65" s="95">
        <v>0</v>
      </c>
      <c r="R65" s="94">
        <v>0</v>
      </c>
      <c r="S65" s="204">
        <v>0</v>
      </c>
      <c r="T65" s="95">
        <v>0</v>
      </c>
      <c r="U65" s="94">
        <v>0</v>
      </c>
      <c r="V65" s="95">
        <v>0</v>
      </c>
      <c r="W65" s="94">
        <v>0</v>
      </c>
      <c r="X65" s="95">
        <v>0</v>
      </c>
      <c r="Y65" s="94">
        <v>0</v>
      </c>
      <c r="Z65" s="95">
        <v>0</v>
      </c>
      <c r="AA65" s="229">
        <v>0</v>
      </c>
      <c r="AB65" s="95">
        <v>0</v>
      </c>
      <c r="AC65" s="1"/>
      <c r="AD65" s="238">
        <f t="shared" si="3"/>
        <v>0</v>
      </c>
      <c r="AE65" s="239">
        <f t="shared" si="4"/>
        <v>0</v>
      </c>
      <c r="AF65" s="1"/>
      <c r="AG65" s="96">
        <f t="shared" si="5"/>
        <v>0</v>
      </c>
    </row>
    <row r="66" spans="2:33" ht="30" customHeight="1" x14ac:dyDescent="0.25">
      <c r="B66" s="214">
        <v>56</v>
      </c>
      <c r="C66" s="201" t="s">
        <v>198</v>
      </c>
      <c r="D66" s="203" t="s">
        <v>222</v>
      </c>
      <c r="E66" s="201" t="s">
        <v>314</v>
      </c>
      <c r="F66" s="202" t="s">
        <v>64</v>
      </c>
      <c r="G66" s="200" t="s">
        <v>330</v>
      </c>
      <c r="H66" s="223">
        <v>115</v>
      </c>
      <c r="I66" s="93" t="s">
        <v>360</v>
      </c>
      <c r="J66" s="226" t="s">
        <v>360</v>
      </c>
      <c r="K66" s="94">
        <v>0</v>
      </c>
      <c r="L66" s="95">
        <v>0</v>
      </c>
      <c r="M66" s="232">
        <v>0</v>
      </c>
      <c r="N66" s="94">
        <v>0</v>
      </c>
      <c r="O66" s="95">
        <v>0</v>
      </c>
      <c r="P66" s="229">
        <v>0</v>
      </c>
      <c r="Q66" s="95">
        <v>0</v>
      </c>
      <c r="R66" s="94">
        <v>0</v>
      </c>
      <c r="S66" s="204">
        <v>0</v>
      </c>
      <c r="T66" s="95">
        <v>0</v>
      </c>
      <c r="U66" s="94">
        <v>0</v>
      </c>
      <c r="V66" s="95">
        <v>0</v>
      </c>
      <c r="W66" s="94">
        <v>0</v>
      </c>
      <c r="X66" s="95">
        <v>0</v>
      </c>
      <c r="Y66" s="94">
        <v>0</v>
      </c>
      <c r="Z66" s="95">
        <v>0</v>
      </c>
      <c r="AA66" s="229">
        <v>0</v>
      </c>
      <c r="AB66" s="95">
        <v>0</v>
      </c>
      <c r="AC66" s="1"/>
      <c r="AD66" s="238">
        <f t="shared" si="3"/>
        <v>0</v>
      </c>
      <c r="AE66" s="239">
        <f t="shared" si="4"/>
        <v>0</v>
      </c>
      <c r="AF66" s="1"/>
      <c r="AG66" s="96">
        <f t="shared" si="5"/>
        <v>0</v>
      </c>
    </row>
    <row r="67" spans="2:33" ht="30" customHeight="1" x14ac:dyDescent="0.25">
      <c r="B67" s="214">
        <v>57</v>
      </c>
      <c r="C67" s="201" t="s">
        <v>156</v>
      </c>
      <c r="D67" s="203" t="s">
        <v>235</v>
      </c>
      <c r="E67" s="201" t="s">
        <v>316</v>
      </c>
      <c r="F67" s="202" t="s">
        <v>64</v>
      </c>
      <c r="G67" s="200" t="s">
        <v>330</v>
      </c>
      <c r="H67" s="223">
        <v>80</v>
      </c>
      <c r="I67" s="93" t="s">
        <v>360</v>
      </c>
      <c r="J67" s="226" t="s">
        <v>360</v>
      </c>
      <c r="K67" s="94">
        <v>0</v>
      </c>
      <c r="L67" s="95">
        <v>0</v>
      </c>
      <c r="M67" s="232">
        <v>0</v>
      </c>
      <c r="N67" s="94">
        <v>0</v>
      </c>
      <c r="O67" s="95">
        <v>0</v>
      </c>
      <c r="P67" s="229">
        <v>0</v>
      </c>
      <c r="Q67" s="95">
        <v>0</v>
      </c>
      <c r="R67" s="94">
        <v>0</v>
      </c>
      <c r="S67" s="204">
        <v>0</v>
      </c>
      <c r="T67" s="95">
        <v>0</v>
      </c>
      <c r="U67" s="94">
        <v>0</v>
      </c>
      <c r="V67" s="95">
        <v>0</v>
      </c>
      <c r="W67" s="94">
        <v>0</v>
      </c>
      <c r="X67" s="95">
        <v>0</v>
      </c>
      <c r="Y67" s="94">
        <v>0</v>
      </c>
      <c r="Z67" s="95">
        <v>0</v>
      </c>
      <c r="AA67" s="229">
        <v>0</v>
      </c>
      <c r="AB67" s="95">
        <v>0</v>
      </c>
      <c r="AC67" s="1"/>
      <c r="AD67" s="238">
        <f t="shared" si="3"/>
        <v>0</v>
      </c>
      <c r="AE67" s="239">
        <f t="shared" si="4"/>
        <v>0</v>
      </c>
      <c r="AF67" s="1"/>
      <c r="AG67" s="96">
        <f t="shared" si="5"/>
        <v>0</v>
      </c>
    </row>
    <row r="68" spans="2:33" ht="30" customHeight="1" x14ac:dyDescent="0.25">
      <c r="B68" s="214">
        <v>58</v>
      </c>
      <c r="C68" s="201" t="s">
        <v>199</v>
      </c>
      <c r="D68" s="203" t="s">
        <v>236</v>
      </c>
      <c r="E68" s="201" t="s">
        <v>329</v>
      </c>
      <c r="F68" s="202" t="s">
        <v>64</v>
      </c>
      <c r="G68" s="200" t="s">
        <v>330</v>
      </c>
      <c r="H68" s="223">
        <v>110</v>
      </c>
      <c r="I68" s="93" t="s">
        <v>360</v>
      </c>
      <c r="J68" s="226" t="s">
        <v>360</v>
      </c>
      <c r="K68" s="94">
        <v>0</v>
      </c>
      <c r="L68" s="95">
        <v>0</v>
      </c>
      <c r="M68" s="232">
        <v>0</v>
      </c>
      <c r="N68" s="94">
        <v>0</v>
      </c>
      <c r="O68" s="95">
        <v>0</v>
      </c>
      <c r="P68" s="229">
        <v>0</v>
      </c>
      <c r="Q68" s="95">
        <v>0</v>
      </c>
      <c r="R68" s="94">
        <v>0</v>
      </c>
      <c r="S68" s="204">
        <v>0</v>
      </c>
      <c r="T68" s="95">
        <v>0</v>
      </c>
      <c r="U68" s="94">
        <v>0</v>
      </c>
      <c r="V68" s="95">
        <v>0</v>
      </c>
      <c r="W68" s="94">
        <v>0</v>
      </c>
      <c r="X68" s="95">
        <v>0</v>
      </c>
      <c r="Y68" s="94">
        <v>0</v>
      </c>
      <c r="Z68" s="95">
        <v>0</v>
      </c>
      <c r="AA68" s="229">
        <v>0</v>
      </c>
      <c r="AB68" s="95">
        <v>0</v>
      </c>
      <c r="AC68" s="1"/>
      <c r="AD68" s="238">
        <f t="shared" si="3"/>
        <v>0</v>
      </c>
      <c r="AE68" s="239">
        <f t="shared" si="4"/>
        <v>0</v>
      </c>
      <c r="AF68" s="1"/>
      <c r="AG68" s="96">
        <f t="shared" si="5"/>
        <v>0</v>
      </c>
    </row>
    <row r="69" spans="2:33" ht="30" customHeight="1" x14ac:dyDescent="0.25">
      <c r="B69" s="214">
        <v>59</v>
      </c>
      <c r="C69" s="201" t="s">
        <v>181</v>
      </c>
      <c r="D69" s="203" t="s">
        <v>246</v>
      </c>
      <c r="E69" s="201" t="s">
        <v>305</v>
      </c>
      <c r="F69" s="202" t="s">
        <v>277</v>
      </c>
      <c r="G69" s="200" t="s">
        <v>330</v>
      </c>
      <c r="H69" s="223">
        <v>4.04</v>
      </c>
      <c r="I69" s="93" t="s">
        <v>360</v>
      </c>
      <c r="J69" s="226" t="s">
        <v>360</v>
      </c>
      <c r="K69" s="94">
        <v>0</v>
      </c>
      <c r="L69" s="95">
        <v>0</v>
      </c>
      <c r="M69" s="232">
        <v>0</v>
      </c>
      <c r="N69" s="94">
        <v>0</v>
      </c>
      <c r="O69" s="95">
        <v>0</v>
      </c>
      <c r="P69" s="229">
        <v>0</v>
      </c>
      <c r="Q69" s="95">
        <v>0</v>
      </c>
      <c r="R69" s="94">
        <v>0</v>
      </c>
      <c r="S69" s="204">
        <v>0</v>
      </c>
      <c r="T69" s="95">
        <v>0</v>
      </c>
      <c r="U69" s="94">
        <v>0</v>
      </c>
      <c r="V69" s="95">
        <v>0</v>
      </c>
      <c r="W69" s="94">
        <v>0</v>
      </c>
      <c r="X69" s="95">
        <v>0</v>
      </c>
      <c r="Y69" s="94">
        <v>0</v>
      </c>
      <c r="Z69" s="95">
        <v>0</v>
      </c>
      <c r="AA69" s="229">
        <v>0</v>
      </c>
      <c r="AB69" s="95">
        <v>0</v>
      </c>
      <c r="AC69" s="1"/>
      <c r="AD69" s="238">
        <f t="shared" si="3"/>
        <v>0</v>
      </c>
      <c r="AE69" s="239">
        <f t="shared" si="4"/>
        <v>0</v>
      </c>
      <c r="AF69" s="1"/>
      <c r="AG69" s="96">
        <f t="shared" si="5"/>
        <v>0</v>
      </c>
    </row>
    <row r="70" spans="2:33" ht="30" customHeight="1" x14ac:dyDescent="0.25">
      <c r="B70" s="214">
        <v>60</v>
      </c>
      <c r="C70" s="201" t="s">
        <v>200</v>
      </c>
      <c r="D70" s="203" t="s">
        <v>269</v>
      </c>
      <c r="E70" s="201" t="s">
        <v>319</v>
      </c>
      <c r="F70" s="202" t="s">
        <v>64</v>
      </c>
      <c r="G70" s="200" t="s">
        <v>330</v>
      </c>
      <c r="H70" s="223">
        <v>139</v>
      </c>
      <c r="I70" s="93" t="s">
        <v>360</v>
      </c>
      <c r="J70" s="226" t="s">
        <v>360</v>
      </c>
      <c r="K70" s="94">
        <v>0</v>
      </c>
      <c r="L70" s="95">
        <v>0</v>
      </c>
      <c r="M70" s="232">
        <v>0</v>
      </c>
      <c r="N70" s="94">
        <v>0</v>
      </c>
      <c r="O70" s="95">
        <v>0</v>
      </c>
      <c r="P70" s="229">
        <v>0</v>
      </c>
      <c r="Q70" s="95">
        <v>0</v>
      </c>
      <c r="R70" s="94">
        <v>0</v>
      </c>
      <c r="S70" s="204">
        <v>0</v>
      </c>
      <c r="T70" s="95">
        <v>0</v>
      </c>
      <c r="U70" s="94">
        <v>0</v>
      </c>
      <c r="V70" s="95">
        <v>0</v>
      </c>
      <c r="W70" s="94">
        <v>0</v>
      </c>
      <c r="X70" s="95">
        <v>0</v>
      </c>
      <c r="Y70" s="94">
        <v>0</v>
      </c>
      <c r="Z70" s="95">
        <v>0</v>
      </c>
      <c r="AA70" s="229">
        <v>0</v>
      </c>
      <c r="AB70" s="95">
        <v>0</v>
      </c>
      <c r="AC70" s="1"/>
      <c r="AD70" s="238">
        <f t="shared" si="3"/>
        <v>0</v>
      </c>
      <c r="AE70" s="239">
        <f t="shared" si="4"/>
        <v>0</v>
      </c>
      <c r="AF70" s="1"/>
      <c r="AG70" s="96">
        <f t="shared" si="5"/>
        <v>0</v>
      </c>
    </row>
    <row r="71" spans="2:33" ht="30" customHeight="1" x14ac:dyDescent="0.25">
      <c r="B71" s="214">
        <v>61</v>
      </c>
      <c r="C71" s="201" t="s">
        <v>206</v>
      </c>
      <c r="D71" s="203" t="s">
        <v>264</v>
      </c>
      <c r="E71" s="201" t="s">
        <v>318</v>
      </c>
      <c r="F71" s="202" t="s">
        <v>64</v>
      </c>
      <c r="G71" s="200" t="s">
        <v>330</v>
      </c>
      <c r="H71" s="223">
        <v>52</v>
      </c>
      <c r="I71" s="93" t="s">
        <v>360</v>
      </c>
      <c r="J71" s="226" t="s">
        <v>360</v>
      </c>
      <c r="K71" s="94">
        <v>0</v>
      </c>
      <c r="L71" s="95">
        <v>0</v>
      </c>
      <c r="M71" s="232">
        <v>0</v>
      </c>
      <c r="N71" s="94">
        <v>0</v>
      </c>
      <c r="O71" s="95">
        <v>0</v>
      </c>
      <c r="P71" s="229">
        <v>0</v>
      </c>
      <c r="Q71" s="95">
        <v>0</v>
      </c>
      <c r="R71" s="94">
        <v>0</v>
      </c>
      <c r="S71" s="204">
        <v>0</v>
      </c>
      <c r="T71" s="95">
        <v>0</v>
      </c>
      <c r="U71" s="94">
        <v>0</v>
      </c>
      <c r="V71" s="95">
        <v>0</v>
      </c>
      <c r="W71" s="94">
        <v>0</v>
      </c>
      <c r="X71" s="95">
        <v>0</v>
      </c>
      <c r="Y71" s="94">
        <v>0</v>
      </c>
      <c r="Z71" s="95">
        <v>0</v>
      </c>
      <c r="AA71" s="229">
        <v>0</v>
      </c>
      <c r="AB71" s="95">
        <v>0</v>
      </c>
      <c r="AC71" s="1"/>
      <c r="AD71" s="238">
        <f t="shared" si="3"/>
        <v>0</v>
      </c>
      <c r="AE71" s="239">
        <f t="shared" si="4"/>
        <v>0</v>
      </c>
      <c r="AF71" s="1"/>
      <c r="AG71" s="96">
        <f t="shared" si="5"/>
        <v>0</v>
      </c>
    </row>
    <row r="72" spans="2:33" ht="30" customHeight="1" x14ac:dyDescent="0.25">
      <c r="B72" s="214">
        <v>62</v>
      </c>
      <c r="C72" s="201" t="s">
        <v>207</v>
      </c>
      <c r="D72" s="203" t="s">
        <v>266</v>
      </c>
      <c r="E72" s="201" t="s">
        <v>304</v>
      </c>
      <c r="F72" s="202" t="s">
        <v>277</v>
      </c>
      <c r="G72" s="200" t="s">
        <v>330</v>
      </c>
      <c r="H72" s="223">
        <v>67</v>
      </c>
      <c r="I72" s="93" t="s">
        <v>360</v>
      </c>
      <c r="J72" s="226" t="s">
        <v>360</v>
      </c>
      <c r="K72" s="94">
        <v>0</v>
      </c>
      <c r="L72" s="95">
        <v>0</v>
      </c>
      <c r="M72" s="232">
        <v>0</v>
      </c>
      <c r="N72" s="94">
        <v>0</v>
      </c>
      <c r="O72" s="95">
        <v>0</v>
      </c>
      <c r="P72" s="229">
        <v>0</v>
      </c>
      <c r="Q72" s="95">
        <v>0</v>
      </c>
      <c r="R72" s="94">
        <v>0</v>
      </c>
      <c r="S72" s="204">
        <v>0</v>
      </c>
      <c r="T72" s="95">
        <v>0</v>
      </c>
      <c r="U72" s="94">
        <v>0</v>
      </c>
      <c r="V72" s="95">
        <v>0</v>
      </c>
      <c r="W72" s="94">
        <v>0</v>
      </c>
      <c r="X72" s="95">
        <v>0</v>
      </c>
      <c r="Y72" s="94">
        <v>0</v>
      </c>
      <c r="Z72" s="95">
        <v>0</v>
      </c>
      <c r="AA72" s="229">
        <v>0</v>
      </c>
      <c r="AB72" s="95">
        <v>0</v>
      </c>
      <c r="AC72" s="1"/>
      <c r="AD72" s="238">
        <f t="shared" si="3"/>
        <v>0</v>
      </c>
      <c r="AE72" s="239">
        <f t="shared" si="4"/>
        <v>0</v>
      </c>
      <c r="AF72" s="1"/>
      <c r="AG72" s="96">
        <f t="shared" si="5"/>
        <v>0</v>
      </c>
    </row>
    <row r="73" spans="2:33" ht="30" customHeight="1" x14ac:dyDescent="0.25">
      <c r="B73" s="214">
        <v>63</v>
      </c>
      <c r="C73" s="201" t="s">
        <v>208</v>
      </c>
      <c r="D73" s="203" t="s">
        <v>267</v>
      </c>
      <c r="E73" s="201" t="s">
        <v>287</v>
      </c>
      <c r="F73" s="202" t="s">
        <v>278</v>
      </c>
      <c r="G73" s="200" t="s">
        <v>330</v>
      </c>
      <c r="H73" s="223">
        <v>49.8</v>
      </c>
      <c r="I73" s="93" t="s">
        <v>360</v>
      </c>
      <c r="J73" s="226" t="s">
        <v>360</v>
      </c>
      <c r="K73" s="94">
        <v>0</v>
      </c>
      <c r="L73" s="95">
        <v>0</v>
      </c>
      <c r="M73" s="232">
        <v>0</v>
      </c>
      <c r="N73" s="94">
        <v>0</v>
      </c>
      <c r="O73" s="95">
        <v>0</v>
      </c>
      <c r="P73" s="229">
        <v>0</v>
      </c>
      <c r="Q73" s="95">
        <v>0</v>
      </c>
      <c r="R73" s="94">
        <v>0</v>
      </c>
      <c r="S73" s="204">
        <v>0</v>
      </c>
      <c r="T73" s="95">
        <v>0</v>
      </c>
      <c r="U73" s="94">
        <v>0</v>
      </c>
      <c r="V73" s="95">
        <v>0</v>
      </c>
      <c r="W73" s="94">
        <v>0</v>
      </c>
      <c r="X73" s="95">
        <v>0</v>
      </c>
      <c r="Y73" s="94">
        <v>0</v>
      </c>
      <c r="Z73" s="95">
        <v>0</v>
      </c>
      <c r="AA73" s="229">
        <v>0</v>
      </c>
      <c r="AB73" s="95">
        <v>0</v>
      </c>
      <c r="AC73" s="1"/>
      <c r="AD73" s="238">
        <f t="shared" si="3"/>
        <v>0</v>
      </c>
      <c r="AE73" s="239">
        <f t="shared" si="4"/>
        <v>0</v>
      </c>
      <c r="AF73" s="1"/>
      <c r="AG73" s="96">
        <f t="shared" si="5"/>
        <v>0</v>
      </c>
    </row>
    <row r="74" spans="2:33" ht="30" customHeight="1" thickBot="1" x14ac:dyDescent="0.3">
      <c r="B74" s="215">
        <v>64</v>
      </c>
      <c r="C74" s="216" t="s">
        <v>209</v>
      </c>
      <c r="D74" s="221" t="s">
        <v>265</v>
      </c>
      <c r="E74" s="216" t="s">
        <v>308</v>
      </c>
      <c r="F74" s="217" t="s">
        <v>274</v>
      </c>
      <c r="G74" s="218" t="s">
        <v>330</v>
      </c>
      <c r="H74" s="224">
        <v>36</v>
      </c>
      <c r="I74" s="139" t="s">
        <v>360</v>
      </c>
      <c r="J74" s="227" t="s">
        <v>360</v>
      </c>
      <c r="K74" s="140">
        <v>0</v>
      </c>
      <c r="L74" s="141">
        <v>0</v>
      </c>
      <c r="M74" s="233">
        <v>0</v>
      </c>
      <c r="N74" s="140">
        <v>0</v>
      </c>
      <c r="O74" s="141">
        <v>0</v>
      </c>
      <c r="P74" s="230">
        <v>0</v>
      </c>
      <c r="Q74" s="141">
        <v>0</v>
      </c>
      <c r="R74" s="140">
        <v>0</v>
      </c>
      <c r="S74" s="219">
        <v>0</v>
      </c>
      <c r="T74" s="141">
        <v>0</v>
      </c>
      <c r="U74" s="140">
        <v>0</v>
      </c>
      <c r="V74" s="141">
        <v>0</v>
      </c>
      <c r="W74" s="140">
        <v>0</v>
      </c>
      <c r="X74" s="141">
        <v>0</v>
      </c>
      <c r="Y74" s="140">
        <v>0</v>
      </c>
      <c r="Z74" s="141">
        <v>0</v>
      </c>
      <c r="AA74" s="230">
        <v>0</v>
      </c>
      <c r="AB74" s="141">
        <v>0</v>
      </c>
      <c r="AC74" s="1"/>
      <c r="AD74" s="242">
        <f t="shared" si="3"/>
        <v>0</v>
      </c>
      <c r="AE74" s="243">
        <f t="shared" si="4"/>
        <v>0</v>
      </c>
      <c r="AF74" s="1"/>
      <c r="AG74" s="142">
        <f t="shared" si="5"/>
        <v>0</v>
      </c>
    </row>
    <row r="75" spans="2:33" ht="23.25" customHeight="1" x14ac:dyDescent="0.25">
      <c r="K75" s="422" t="s">
        <v>91</v>
      </c>
      <c r="L75" s="414"/>
      <c r="M75" s="198" t="s">
        <v>92</v>
      </c>
      <c r="N75" s="418" t="s">
        <v>91</v>
      </c>
      <c r="O75" s="419"/>
      <c r="P75" s="419"/>
      <c r="Q75" s="425"/>
      <c r="R75" s="418" t="s">
        <v>91</v>
      </c>
      <c r="S75" s="419"/>
      <c r="T75" s="199" t="s">
        <v>92</v>
      </c>
      <c r="U75" s="422" t="s">
        <v>91</v>
      </c>
      <c r="V75" s="411"/>
      <c r="W75" s="414" t="s">
        <v>91</v>
      </c>
      <c r="X75" s="414"/>
      <c r="Y75" s="410" t="s">
        <v>91</v>
      </c>
      <c r="Z75" s="411"/>
      <c r="AA75" s="414" t="s">
        <v>91</v>
      </c>
      <c r="AB75" s="415"/>
      <c r="AC75" s="6"/>
      <c r="AD75" s="234" t="s">
        <v>92</v>
      </c>
      <c r="AE75" s="235" t="s">
        <v>92</v>
      </c>
      <c r="AF75" s="6"/>
      <c r="AG75" s="6"/>
    </row>
    <row r="76" spans="2:33" ht="14.25" thickBot="1" x14ac:dyDescent="0.3">
      <c r="K76" s="423">
        <v>0.1</v>
      </c>
      <c r="L76" s="424"/>
      <c r="M76" s="27">
        <v>0.1</v>
      </c>
      <c r="N76" s="420">
        <v>0.2</v>
      </c>
      <c r="O76" s="421"/>
      <c r="P76" s="426">
        <v>0.1</v>
      </c>
      <c r="Q76" s="427"/>
      <c r="R76" s="420">
        <v>0.2</v>
      </c>
      <c r="S76" s="421"/>
      <c r="T76" s="28">
        <v>0.1</v>
      </c>
      <c r="U76" s="423">
        <v>0.05</v>
      </c>
      <c r="V76" s="413"/>
      <c r="W76" s="416">
        <v>0.05</v>
      </c>
      <c r="X76" s="424"/>
      <c r="Y76" s="412">
        <v>0.05</v>
      </c>
      <c r="Z76" s="413"/>
      <c r="AA76" s="416">
        <v>0.05</v>
      </c>
      <c r="AB76" s="417"/>
      <c r="AC76" s="6"/>
      <c r="AD76" s="8">
        <v>0.8</v>
      </c>
      <c r="AE76" s="7">
        <v>0.2</v>
      </c>
      <c r="AF76" s="6"/>
      <c r="AG76" s="6"/>
    </row>
    <row r="78" spans="2:33" x14ac:dyDescent="0.25">
      <c r="D78" s="51" t="s">
        <v>33</v>
      </c>
      <c r="E78" s="29" t="s">
        <v>93</v>
      </c>
    </row>
    <row r="79" spans="2:33" x14ac:dyDescent="0.25">
      <c r="D79" s="51" t="s">
        <v>36</v>
      </c>
      <c r="E79" s="29" t="s">
        <v>94</v>
      </c>
    </row>
    <row r="80" spans="2:33" x14ac:dyDescent="0.25">
      <c r="D80" s="50"/>
    </row>
    <row r="119" spans="30:30" hidden="1" x14ac:dyDescent="0.25">
      <c r="AD119" s="76">
        <v>0</v>
      </c>
    </row>
    <row r="120" spans="30:30" hidden="1" x14ac:dyDescent="0.25">
      <c r="AD120" s="76">
        <v>1</v>
      </c>
    </row>
  </sheetData>
  <autoFilter ref="B8:AB76" xr:uid="{96F7D696-1CA9-47C9-A516-5323E98E7393}">
    <filterColumn colId="9" showButton="0"/>
    <filterColumn colId="12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</autoFilter>
  <mergeCells count="43">
    <mergeCell ref="G8:G10"/>
    <mergeCell ref="U8:AB8"/>
    <mergeCell ref="N8:Q8"/>
    <mergeCell ref="N9:O9"/>
    <mergeCell ref="P9:Q9"/>
    <mergeCell ref="K8:L9"/>
    <mergeCell ref="M8:M10"/>
    <mergeCell ref="H8:H10"/>
    <mergeCell ref="I8:I10"/>
    <mergeCell ref="J8:J10"/>
    <mergeCell ref="B8:B10"/>
    <mergeCell ref="C8:C10"/>
    <mergeCell ref="D8:D10"/>
    <mergeCell ref="E8:E10"/>
    <mergeCell ref="F8:F10"/>
    <mergeCell ref="AD8:AD10"/>
    <mergeCell ref="AE8:AE10"/>
    <mergeCell ref="AG8:AG10"/>
    <mergeCell ref="R8:T8"/>
    <mergeCell ref="T9:T10"/>
    <mergeCell ref="U9:V9"/>
    <mergeCell ref="R9:S9"/>
    <mergeCell ref="N76:O76"/>
    <mergeCell ref="P76:Q76"/>
    <mergeCell ref="W9:X9"/>
    <mergeCell ref="Y9:Z9"/>
    <mergeCell ref="AA9:AB9"/>
    <mergeCell ref="G5:AB6"/>
    <mergeCell ref="AD2:AE6"/>
    <mergeCell ref="AG2:AG6"/>
    <mergeCell ref="Y75:Z75"/>
    <mergeCell ref="Y76:Z76"/>
    <mergeCell ref="AA75:AB75"/>
    <mergeCell ref="AA76:AB76"/>
    <mergeCell ref="R75:S75"/>
    <mergeCell ref="R76:S76"/>
    <mergeCell ref="U75:V75"/>
    <mergeCell ref="U76:V76"/>
    <mergeCell ref="W75:X75"/>
    <mergeCell ref="W76:X76"/>
    <mergeCell ref="K75:L75"/>
    <mergeCell ref="K76:L76"/>
    <mergeCell ref="N75:Q75"/>
  </mergeCells>
  <conditionalFormatting sqref="AD77:AD1048576 AD1:AD75">
    <cfRule type="iconSet" priority="1">
      <iconSet>
        <cfvo type="percent" val="0"/>
        <cfvo type="percent" val="75"/>
        <cfvo type="percent" val="85"/>
      </iconSet>
    </cfRule>
  </conditionalFormatting>
  <printOptions horizontalCentered="1" verticalCentered="1"/>
  <pageMargins left="0.19685039370078741" right="0.19685039370078741" top="0.39370078740157483" bottom="0.39370078740157483" header="0" footer="0"/>
  <pageSetup paperSize="3" scale="5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4405-87E8-47F3-B299-B11DDB6A7EAC}">
  <dimension ref="A1:BB67"/>
  <sheetViews>
    <sheetView topLeftCell="R1" zoomScale="85" zoomScaleNormal="85" workbookViewId="0">
      <selection activeCell="W8" sqref="W8"/>
    </sheetView>
  </sheetViews>
  <sheetFormatPr baseColWidth="10" defaultRowHeight="12.75" x14ac:dyDescent="0.2"/>
  <cols>
    <col min="1" max="1" width="8.7109375" bestFit="1" customWidth="1"/>
    <col min="2" max="2" width="13.28515625" bestFit="1" customWidth="1"/>
    <col min="3" max="3" width="12.85546875" bestFit="1" customWidth="1"/>
    <col min="4" max="4" width="58.7109375" bestFit="1" customWidth="1"/>
    <col min="5" max="5" width="39.140625" bestFit="1" customWidth="1"/>
    <col min="6" max="6" width="16.42578125" bestFit="1" customWidth="1"/>
    <col min="7" max="7" width="21.28515625" bestFit="1" customWidth="1"/>
    <col min="8" max="8" width="15.140625" bestFit="1" customWidth="1"/>
    <col min="9" max="9" width="26.28515625" bestFit="1" customWidth="1"/>
    <col min="10" max="10" width="23.28515625" bestFit="1" customWidth="1"/>
    <col min="11" max="11" width="31.42578125" bestFit="1" customWidth="1"/>
    <col min="12" max="12" width="32.7109375" bestFit="1" customWidth="1"/>
    <col min="13" max="13" width="28" bestFit="1" customWidth="1"/>
    <col min="14" max="14" width="22" bestFit="1" customWidth="1"/>
    <col min="15" max="15" width="23" bestFit="1" customWidth="1"/>
    <col min="16" max="16" width="26.7109375" bestFit="1" customWidth="1"/>
    <col min="17" max="17" width="11.28515625" bestFit="1" customWidth="1"/>
    <col min="18" max="18" width="11.5703125" bestFit="1" customWidth="1"/>
    <col min="19" max="19" width="18.28515625" style="262" bestFit="1" customWidth="1"/>
    <col min="20" max="20" width="19" style="262" bestFit="1" customWidth="1"/>
    <col min="21" max="21" width="24.28515625" style="262" bestFit="1" customWidth="1"/>
    <col min="22" max="22" width="22.5703125" style="262" bestFit="1" customWidth="1"/>
    <col min="23" max="23" width="23.28515625" style="262" bestFit="1" customWidth="1"/>
    <col min="24" max="24" width="21.5703125" style="262" bestFit="1" customWidth="1"/>
    <col min="25" max="25" width="22.28515625" style="262" bestFit="1" customWidth="1"/>
    <col min="26" max="26" width="24" style="262" bestFit="1" customWidth="1"/>
    <col min="27" max="27" width="24.7109375" style="262" bestFit="1" customWidth="1"/>
    <col min="28" max="28" width="20.42578125" style="262" bestFit="1" customWidth="1"/>
    <col min="29" max="29" width="21.140625" style="262" bestFit="1" customWidth="1"/>
    <col min="30" max="30" width="21.85546875" style="262" bestFit="1" customWidth="1"/>
    <col min="31" max="31" width="22.7109375" style="262" bestFit="1" customWidth="1"/>
    <col min="32" max="32" width="23.42578125" style="262" bestFit="1" customWidth="1"/>
    <col min="33" max="33" width="21.85546875" style="262" bestFit="1" customWidth="1"/>
    <col min="34" max="34" width="22.5703125" style="262" bestFit="1" customWidth="1"/>
    <col min="35" max="35" width="21.28515625" style="262" bestFit="1" customWidth="1"/>
    <col min="36" max="36" width="22" style="262" bestFit="1" customWidth="1"/>
    <col min="37" max="37" width="9.5703125" customWidth="1"/>
    <col min="38" max="38" width="10.28515625" customWidth="1"/>
    <col min="39" max="39" width="24.28515625" customWidth="1"/>
    <col min="40" max="40" width="13.7109375" customWidth="1"/>
    <col min="41" max="41" width="14.42578125" customWidth="1"/>
    <col min="42" max="42" width="12.7109375" customWidth="1"/>
    <col min="43" max="43" width="13.42578125" customWidth="1"/>
    <col min="44" max="44" width="15.140625" customWidth="1"/>
    <col min="45" max="45" width="15.85546875" customWidth="1"/>
    <col min="46" max="46" width="12.5703125" customWidth="1"/>
    <col min="47" max="47" width="12.28515625" customWidth="1"/>
    <col min="48" max="48" width="13" customWidth="1"/>
    <col min="49" max="49" width="13.85546875" customWidth="1"/>
    <col min="50" max="50" width="14.5703125" customWidth="1"/>
    <col min="51" max="51" width="13" customWidth="1"/>
    <col min="52" max="52" width="13.7109375" customWidth="1"/>
    <col min="53" max="53" width="12.42578125" bestFit="1" customWidth="1"/>
    <col min="54" max="54" width="13.140625" bestFit="1" customWidth="1"/>
  </cols>
  <sheetData>
    <row r="1" spans="1:54" ht="15" x14ac:dyDescent="0.2">
      <c r="A1" s="287" t="s">
        <v>332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9"/>
      <c r="S1" s="285" t="s">
        <v>340</v>
      </c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6"/>
      <c r="AJ1" s="286"/>
      <c r="AK1" s="282" t="s">
        <v>339</v>
      </c>
      <c r="AL1" s="283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</row>
    <row r="2" spans="1:54" ht="15" x14ac:dyDescent="0.2">
      <c r="A2" s="287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95" t="s">
        <v>74</v>
      </c>
      <c r="T2" s="295"/>
      <c r="U2" s="191" t="s">
        <v>341</v>
      </c>
      <c r="V2" s="293" t="s">
        <v>103</v>
      </c>
      <c r="W2" s="294"/>
      <c r="X2" s="293" t="s">
        <v>46</v>
      </c>
      <c r="Y2" s="294"/>
      <c r="Z2" s="293" t="s">
        <v>342</v>
      </c>
      <c r="AA2" s="296"/>
      <c r="AB2" s="294"/>
      <c r="AC2" s="293" t="s">
        <v>49</v>
      </c>
      <c r="AD2" s="294"/>
      <c r="AE2" s="293" t="s">
        <v>48</v>
      </c>
      <c r="AF2" s="294"/>
      <c r="AG2" s="293" t="s">
        <v>50</v>
      </c>
      <c r="AH2" s="294"/>
      <c r="AI2" s="293" t="s">
        <v>51</v>
      </c>
      <c r="AJ2" s="294"/>
      <c r="AK2" s="290" t="s">
        <v>74</v>
      </c>
      <c r="AL2" s="291"/>
      <c r="AM2" s="188" t="s">
        <v>341</v>
      </c>
      <c r="AN2" s="290" t="s">
        <v>103</v>
      </c>
      <c r="AO2" s="291"/>
      <c r="AP2" s="290" t="s">
        <v>46</v>
      </c>
      <c r="AQ2" s="291"/>
      <c r="AR2" s="290" t="s">
        <v>342</v>
      </c>
      <c r="AS2" s="292"/>
      <c r="AT2" s="291"/>
      <c r="AU2" s="290" t="s">
        <v>49</v>
      </c>
      <c r="AV2" s="291"/>
      <c r="AW2" s="290" t="s">
        <v>48</v>
      </c>
      <c r="AX2" s="291"/>
      <c r="AY2" s="290" t="s">
        <v>50</v>
      </c>
      <c r="AZ2" s="291"/>
      <c r="BA2" s="290" t="s">
        <v>51</v>
      </c>
      <c r="BB2" s="291"/>
    </row>
    <row r="3" spans="1:54" ht="15" x14ac:dyDescent="0.25">
      <c r="A3" s="185" t="s">
        <v>71</v>
      </c>
      <c r="B3" s="185" t="s">
        <v>105</v>
      </c>
      <c r="C3" s="186" t="s">
        <v>333</v>
      </c>
      <c r="D3" s="185" t="s">
        <v>334</v>
      </c>
      <c r="E3" s="186" t="s">
        <v>3</v>
      </c>
      <c r="F3" s="186" t="s">
        <v>335</v>
      </c>
      <c r="G3" s="186" t="s">
        <v>4</v>
      </c>
      <c r="H3" s="185" t="s">
        <v>72</v>
      </c>
      <c r="I3" s="185" t="s">
        <v>383</v>
      </c>
      <c r="J3" s="185" t="s">
        <v>336</v>
      </c>
      <c r="K3" s="185" t="s">
        <v>337</v>
      </c>
      <c r="L3" s="185" t="s">
        <v>106</v>
      </c>
      <c r="M3" s="185" t="s">
        <v>338</v>
      </c>
      <c r="N3" s="185" t="s">
        <v>99</v>
      </c>
      <c r="O3" s="185" t="s">
        <v>95</v>
      </c>
      <c r="P3" s="185" t="s">
        <v>96</v>
      </c>
      <c r="Q3" s="185" t="s">
        <v>97</v>
      </c>
      <c r="R3" s="185" t="s">
        <v>107</v>
      </c>
      <c r="S3" s="189" t="s">
        <v>343</v>
      </c>
      <c r="T3" s="189" t="s">
        <v>344</v>
      </c>
      <c r="U3" s="189" t="s">
        <v>345</v>
      </c>
      <c r="V3" s="189" t="s">
        <v>346</v>
      </c>
      <c r="W3" s="189" t="s">
        <v>347</v>
      </c>
      <c r="X3" s="189" t="s">
        <v>348</v>
      </c>
      <c r="Y3" s="189" t="s">
        <v>349</v>
      </c>
      <c r="Z3" s="189" t="s">
        <v>350</v>
      </c>
      <c r="AA3" s="189" t="s">
        <v>351</v>
      </c>
      <c r="AB3" s="189" t="s">
        <v>382</v>
      </c>
      <c r="AC3" s="189" t="s">
        <v>352</v>
      </c>
      <c r="AD3" s="189" t="s">
        <v>353</v>
      </c>
      <c r="AE3" s="189" t="s">
        <v>354</v>
      </c>
      <c r="AF3" s="189" t="s">
        <v>355</v>
      </c>
      <c r="AG3" s="189" t="s">
        <v>356</v>
      </c>
      <c r="AH3" s="189" t="s">
        <v>357</v>
      </c>
      <c r="AI3" s="189" t="s">
        <v>358</v>
      </c>
      <c r="AJ3" s="189" t="s">
        <v>359</v>
      </c>
      <c r="AK3" s="190" t="s">
        <v>108</v>
      </c>
      <c r="AL3" s="190" t="s">
        <v>109</v>
      </c>
      <c r="AM3" s="187" t="s">
        <v>110</v>
      </c>
      <c r="AN3" s="187" t="s">
        <v>111</v>
      </c>
      <c r="AO3" s="187" t="s">
        <v>112</v>
      </c>
      <c r="AP3" s="187" t="s">
        <v>113</v>
      </c>
      <c r="AQ3" s="187" t="s">
        <v>114</v>
      </c>
      <c r="AR3" s="187" t="s">
        <v>115</v>
      </c>
      <c r="AS3" s="187" t="s">
        <v>116</v>
      </c>
      <c r="AT3" s="187" t="s">
        <v>117</v>
      </c>
      <c r="AU3" s="187" t="s">
        <v>118</v>
      </c>
      <c r="AV3" s="187" t="s">
        <v>119</v>
      </c>
      <c r="AW3" s="187" t="s">
        <v>120</v>
      </c>
      <c r="AX3" s="187" t="s">
        <v>121</v>
      </c>
      <c r="AY3" s="187" t="s">
        <v>122</v>
      </c>
      <c r="AZ3" s="187" t="s">
        <v>123</v>
      </c>
      <c r="BA3" s="187" t="s">
        <v>124</v>
      </c>
      <c r="BB3" s="187" t="s">
        <v>125</v>
      </c>
    </row>
    <row r="4" spans="1:54" x14ac:dyDescent="0.2">
      <c r="A4" s="143">
        <v>1</v>
      </c>
      <c r="B4" s="143">
        <v>573</v>
      </c>
      <c r="C4" s="184" t="s">
        <v>52</v>
      </c>
      <c r="D4" s="144" t="s">
        <v>158</v>
      </c>
      <c r="E4" s="144" t="s">
        <v>263</v>
      </c>
      <c r="F4" s="144" t="s">
        <v>52</v>
      </c>
      <c r="G4" s="144" t="s">
        <v>285</v>
      </c>
      <c r="H4" s="144" t="s">
        <v>330</v>
      </c>
      <c r="I4" s="145">
        <v>38</v>
      </c>
      <c r="J4" s="147" t="s">
        <v>98</v>
      </c>
      <c r="K4" s="147" t="s">
        <v>98</v>
      </c>
      <c r="L4" s="147" t="s">
        <v>98</v>
      </c>
      <c r="M4" s="147" t="s">
        <v>98</v>
      </c>
      <c r="N4" s="147" t="s">
        <v>98</v>
      </c>
      <c r="O4" s="147" t="s">
        <v>98</v>
      </c>
      <c r="P4" s="147" t="s">
        <v>98</v>
      </c>
      <c r="Q4" s="147" t="s">
        <v>98</v>
      </c>
      <c r="R4" s="146" t="s">
        <v>126</v>
      </c>
      <c r="S4" s="261" t="s">
        <v>61</v>
      </c>
      <c r="T4" s="261" t="s">
        <v>61</v>
      </c>
      <c r="U4" s="261" t="s">
        <v>61</v>
      </c>
      <c r="V4" s="261" t="s">
        <v>61</v>
      </c>
      <c r="W4" s="261" t="s">
        <v>61</v>
      </c>
      <c r="X4" s="261" t="s">
        <v>61</v>
      </c>
      <c r="Y4" s="261" t="s">
        <v>61</v>
      </c>
      <c r="Z4" s="261" t="s">
        <v>61</v>
      </c>
      <c r="AA4" s="261" t="s">
        <v>61</v>
      </c>
      <c r="AB4" s="261" t="s">
        <v>61</v>
      </c>
      <c r="AC4" s="261" t="s">
        <v>61</v>
      </c>
      <c r="AD4" s="261" t="s">
        <v>61</v>
      </c>
      <c r="AE4" s="261" t="s">
        <v>61</v>
      </c>
      <c r="AF4" s="261" t="s">
        <v>61</v>
      </c>
      <c r="AG4" s="261" t="s">
        <v>61</v>
      </c>
      <c r="AH4" s="261" t="s">
        <v>61</v>
      </c>
      <c r="AI4" s="261" t="s">
        <v>61</v>
      </c>
      <c r="AJ4" s="261" t="s">
        <v>61</v>
      </c>
      <c r="AK4" s="244">
        <f>IF(S4="Pendiente",0%,IF(S4="En elaboración",20%,IF(S4="En evaluación",50%,IF(S4="Requerimiento",75%,IF(S4="En actualización",75%,IF(S4="En dictaminación",85%,IF(S4="Liberado",100%,IF(S4="N/A",100%,"ERROR"))))))))</f>
        <v>0</v>
      </c>
      <c r="AL4" s="244">
        <f t="shared" ref="AL4:BB4" si="0">IF(T4="Pendiente",0%,IF(T4="En elaboración",20%,IF(T4="En evaluación",50%,IF(T4="Requerimiento",75%,IF(T4="En actualización",75%,IF(T4="En dictaminación",85%,IF(T4="Liberado",100%,IF(T4="N/A",100%,"ERROR"))))))))</f>
        <v>0</v>
      </c>
      <c r="AM4" s="244">
        <f t="shared" si="0"/>
        <v>0</v>
      </c>
      <c r="AN4" s="244">
        <f t="shared" si="0"/>
        <v>0</v>
      </c>
      <c r="AO4" s="244">
        <f t="shared" si="0"/>
        <v>0</v>
      </c>
      <c r="AP4" s="244">
        <f t="shared" si="0"/>
        <v>0</v>
      </c>
      <c r="AQ4" s="244">
        <f t="shared" si="0"/>
        <v>0</v>
      </c>
      <c r="AR4" s="244">
        <f t="shared" si="0"/>
        <v>0</v>
      </c>
      <c r="AS4" s="244">
        <f t="shared" si="0"/>
        <v>0</v>
      </c>
      <c r="AT4" s="244">
        <f t="shared" si="0"/>
        <v>0</v>
      </c>
      <c r="AU4" s="244">
        <f t="shared" si="0"/>
        <v>0</v>
      </c>
      <c r="AV4" s="244">
        <f t="shared" si="0"/>
        <v>0</v>
      </c>
      <c r="AW4" s="244">
        <f t="shared" si="0"/>
        <v>0</v>
      </c>
      <c r="AX4" s="244">
        <f t="shared" si="0"/>
        <v>0</v>
      </c>
      <c r="AY4" s="244">
        <f t="shared" si="0"/>
        <v>0</v>
      </c>
      <c r="AZ4" s="244">
        <f t="shared" si="0"/>
        <v>0</v>
      </c>
      <c r="BA4" s="244">
        <f t="shared" si="0"/>
        <v>0</v>
      </c>
      <c r="BB4" s="244">
        <f t="shared" si="0"/>
        <v>0</v>
      </c>
    </row>
    <row r="5" spans="1:54" x14ac:dyDescent="0.2">
      <c r="A5" s="143">
        <v>2</v>
      </c>
      <c r="B5" s="143">
        <v>70</v>
      </c>
      <c r="C5" s="184" t="s">
        <v>52</v>
      </c>
      <c r="D5" s="144" t="s">
        <v>159</v>
      </c>
      <c r="E5" s="144" t="s">
        <v>257</v>
      </c>
      <c r="F5" s="144" t="s">
        <v>52</v>
      </c>
      <c r="G5" s="144" t="s">
        <v>90</v>
      </c>
      <c r="H5" s="144" t="s">
        <v>330</v>
      </c>
      <c r="I5" s="145">
        <v>215</v>
      </c>
      <c r="J5" s="147" t="s">
        <v>98</v>
      </c>
      <c r="K5" s="147" t="s">
        <v>98</v>
      </c>
      <c r="L5" s="147" t="s">
        <v>98</v>
      </c>
      <c r="M5" s="147" t="s">
        <v>98</v>
      </c>
      <c r="N5" s="147" t="s">
        <v>98</v>
      </c>
      <c r="O5" s="147" t="s">
        <v>98</v>
      </c>
      <c r="P5" s="147" t="s">
        <v>98</v>
      </c>
      <c r="Q5" s="147" t="s">
        <v>98</v>
      </c>
      <c r="R5" s="146" t="s">
        <v>126</v>
      </c>
      <c r="S5" s="261" t="s">
        <v>61</v>
      </c>
      <c r="T5" s="261" t="s">
        <v>61</v>
      </c>
      <c r="U5" s="261" t="s">
        <v>61</v>
      </c>
      <c r="V5" s="261" t="s">
        <v>61</v>
      </c>
      <c r="W5" s="261" t="s">
        <v>61</v>
      </c>
      <c r="X5" s="261" t="s">
        <v>61</v>
      </c>
      <c r="Y5" s="261" t="s">
        <v>61</v>
      </c>
      <c r="Z5" s="261" t="s">
        <v>61</v>
      </c>
      <c r="AA5" s="261" t="s">
        <v>61</v>
      </c>
      <c r="AB5" s="261" t="s">
        <v>61</v>
      </c>
      <c r="AC5" s="261" t="s">
        <v>61</v>
      </c>
      <c r="AD5" s="261" t="s">
        <v>61</v>
      </c>
      <c r="AE5" s="261" t="s">
        <v>61</v>
      </c>
      <c r="AF5" s="261" t="s">
        <v>61</v>
      </c>
      <c r="AG5" s="261" t="s">
        <v>61</v>
      </c>
      <c r="AH5" s="261" t="s">
        <v>61</v>
      </c>
      <c r="AI5" s="261" t="s">
        <v>61</v>
      </c>
      <c r="AJ5" s="261" t="s">
        <v>61</v>
      </c>
      <c r="AK5" s="244">
        <f t="shared" ref="AK5:AK67" si="1">IF(S5="Pendiente",0%,IF(S5="En elaboración",20%,IF(S5="En evaluación",50%,IF(S5="Requerimiento",75%,IF(S5="En actualización",75%,IF(S5="En dictaminación",85%,IF(S5="Liberado",100%,IF(S5="N/A",100%,"ERROR"))))))))</f>
        <v>0</v>
      </c>
      <c r="AL5" s="244">
        <f t="shared" ref="AL5:AL67" si="2">IF(T5="Pendiente",0%,IF(T5="En elaboración",20%,IF(T5="En evaluación",50%,IF(T5="Requerimiento",75%,IF(T5="En actualización",75%,IF(T5="En dictaminación",85%,IF(T5="Liberado",100%,IF(T5="N/A",100%,"ERROR"))))))))</f>
        <v>0</v>
      </c>
      <c r="AM5" s="244">
        <f t="shared" ref="AM5:AM67" si="3">IF(U5="Pendiente",0%,IF(U5="En elaboración",20%,IF(U5="En evaluación",50%,IF(U5="Requerimiento",75%,IF(U5="En actualización",75%,IF(U5="En dictaminación",85%,IF(U5="Liberado",100%,IF(U5="N/A",100%,"ERROR"))))))))</f>
        <v>0</v>
      </c>
      <c r="AN5" s="244">
        <f t="shared" ref="AN5:AN67" si="4">IF(V5="Pendiente",0%,IF(V5="En elaboración",20%,IF(V5="En evaluación",50%,IF(V5="Requerimiento",75%,IF(V5="En actualización",75%,IF(V5="En dictaminación",85%,IF(V5="Liberado",100%,IF(V5="N/A",100%,"ERROR"))))))))</f>
        <v>0</v>
      </c>
      <c r="AO5" s="244">
        <f t="shared" ref="AO5:AO67" si="5">IF(W5="Pendiente",0%,IF(W5="En elaboración",20%,IF(W5="En evaluación",50%,IF(W5="Requerimiento",75%,IF(W5="En actualización",75%,IF(W5="En dictaminación",85%,IF(W5="Liberado",100%,IF(W5="N/A",100%,"ERROR"))))))))</f>
        <v>0</v>
      </c>
      <c r="AP5" s="244">
        <f t="shared" ref="AP5:AP67" si="6">IF(X5="Pendiente",0%,IF(X5="En elaboración",20%,IF(X5="En evaluación",50%,IF(X5="Requerimiento",75%,IF(X5="En actualización",75%,IF(X5="En dictaminación",85%,IF(X5="Liberado",100%,IF(X5="N/A",100%,"ERROR"))))))))</f>
        <v>0</v>
      </c>
      <c r="AQ5" s="244">
        <f t="shared" ref="AQ5:AQ67" si="7">IF(Y5="Pendiente",0%,IF(Y5="En elaboración",20%,IF(Y5="En evaluación",50%,IF(Y5="Requerimiento",75%,IF(Y5="En actualización",75%,IF(Y5="En dictaminación",85%,IF(Y5="Liberado",100%,IF(Y5="N/A",100%,"ERROR"))))))))</f>
        <v>0</v>
      </c>
      <c r="AR5" s="244">
        <f t="shared" ref="AR5:AR67" si="8">IF(Z5="Pendiente",0%,IF(Z5="En elaboración",20%,IF(Z5="En evaluación",50%,IF(Z5="Requerimiento",75%,IF(Z5="En actualización",75%,IF(Z5="En dictaminación",85%,IF(Z5="Liberado",100%,IF(Z5="N/A",100%,"ERROR"))))))))</f>
        <v>0</v>
      </c>
      <c r="AS5" s="244">
        <f t="shared" ref="AS5:AS67" si="9">IF(AA5="Pendiente",0%,IF(AA5="En elaboración",20%,IF(AA5="En evaluación",50%,IF(AA5="Requerimiento",75%,IF(AA5="En actualización",75%,IF(AA5="En dictaminación",85%,IF(AA5="Liberado",100%,IF(AA5="N/A",100%,"ERROR"))))))))</f>
        <v>0</v>
      </c>
      <c r="AT5" s="244">
        <f t="shared" ref="AT5:AT67" si="10">IF(AB5="Pendiente",0%,IF(AB5="En elaboración",20%,IF(AB5="En evaluación",50%,IF(AB5="Requerimiento",75%,IF(AB5="En actualización",75%,IF(AB5="En dictaminación",85%,IF(AB5="Liberado",100%,IF(AB5="N/A",100%,"ERROR"))))))))</f>
        <v>0</v>
      </c>
      <c r="AU5" s="244">
        <f t="shared" ref="AU5:AU67" si="11">IF(AC5="Pendiente",0%,IF(AC5="En elaboración",20%,IF(AC5="En evaluación",50%,IF(AC5="Requerimiento",75%,IF(AC5="En actualización",75%,IF(AC5="En dictaminación",85%,IF(AC5="Liberado",100%,IF(AC5="N/A",100%,"ERROR"))))))))</f>
        <v>0</v>
      </c>
      <c r="AV5" s="244">
        <f t="shared" ref="AV5:AV67" si="12">IF(AD5="Pendiente",0%,IF(AD5="En elaboración",20%,IF(AD5="En evaluación",50%,IF(AD5="Requerimiento",75%,IF(AD5="En actualización",75%,IF(AD5="En dictaminación",85%,IF(AD5="Liberado",100%,IF(AD5="N/A",100%,"ERROR"))))))))</f>
        <v>0</v>
      </c>
      <c r="AW5" s="244">
        <f t="shared" ref="AW5:AW67" si="13">IF(AE5="Pendiente",0%,IF(AE5="En elaboración",20%,IF(AE5="En evaluación",50%,IF(AE5="Requerimiento",75%,IF(AE5="En actualización",75%,IF(AE5="En dictaminación",85%,IF(AE5="Liberado",100%,IF(AE5="N/A",100%,"ERROR"))))))))</f>
        <v>0</v>
      </c>
      <c r="AX5" s="244">
        <f t="shared" ref="AX5:AX67" si="14">IF(AF5="Pendiente",0%,IF(AF5="En elaboración",20%,IF(AF5="En evaluación",50%,IF(AF5="Requerimiento",75%,IF(AF5="En actualización",75%,IF(AF5="En dictaminación",85%,IF(AF5="Liberado",100%,IF(AF5="N/A",100%,"ERROR"))))))))</f>
        <v>0</v>
      </c>
      <c r="AY5" s="244">
        <f t="shared" ref="AY5:AY67" si="15">IF(AG5="Pendiente",0%,IF(AG5="En elaboración",20%,IF(AG5="En evaluación",50%,IF(AG5="Requerimiento",75%,IF(AG5="En actualización",75%,IF(AG5="En dictaminación",85%,IF(AG5="Liberado",100%,IF(AG5="N/A",100%,"ERROR"))))))))</f>
        <v>0</v>
      </c>
      <c r="AZ5" s="244">
        <f t="shared" ref="AZ5:AZ67" si="16">IF(AH5="Pendiente",0%,IF(AH5="En elaboración",20%,IF(AH5="En evaluación",50%,IF(AH5="Requerimiento",75%,IF(AH5="En actualización",75%,IF(AH5="En dictaminación",85%,IF(AH5="Liberado",100%,IF(AH5="N/A",100%,"ERROR"))))))))</f>
        <v>0</v>
      </c>
      <c r="BA5" s="244">
        <f t="shared" ref="BA5:BA67" si="17">IF(AI5="Pendiente",0%,IF(AI5="En elaboración",20%,IF(AI5="En evaluación",50%,IF(AI5="Requerimiento",75%,IF(AI5="En actualización",75%,IF(AI5="En dictaminación",85%,IF(AI5="Liberado",100%,IF(AI5="N/A",100%,"ERROR"))))))))</f>
        <v>0</v>
      </c>
      <c r="BB5" s="244">
        <f t="shared" ref="BB5:BB67" si="18">IF(AJ5="Pendiente",0%,IF(AJ5="En elaboración",20%,IF(AJ5="En evaluación",50%,IF(AJ5="Requerimiento",75%,IF(AJ5="En actualización",75%,IF(AJ5="En dictaminación",85%,IF(AJ5="Liberado",100%,IF(AJ5="N/A",100%,"ERROR"))))))))</f>
        <v>0</v>
      </c>
    </row>
    <row r="6" spans="1:54" x14ac:dyDescent="0.2">
      <c r="A6" s="143">
        <v>3</v>
      </c>
      <c r="B6" s="143">
        <v>58</v>
      </c>
      <c r="C6" s="184" t="s">
        <v>52</v>
      </c>
      <c r="D6" s="144" t="s">
        <v>159</v>
      </c>
      <c r="E6" s="144" t="s">
        <v>258</v>
      </c>
      <c r="F6" s="144" t="s">
        <v>52</v>
      </c>
      <c r="G6" s="144" t="s">
        <v>284</v>
      </c>
      <c r="H6" s="144" t="s">
        <v>330</v>
      </c>
      <c r="I6" s="145">
        <v>120</v>
      </c>
      <c r="J6" s="147" t="s">
        <v>98</v>
      </c>
      <c r="K6" s="147" t="s">
        <v>98</v>
      </c>
      <c r="L6" s="147" t="s">
        <v>98</v>
      </c>
      <c r="M6" s="147" t="s">
        <v>98</v>
      </c>
      <c r="N6" s="147" t="s">
        <v>98</v>
      </c>
      <c r="O6" s="147" t="s">
        <v>98</v>
      </c>
      <c r="P6" s="147" t="s">
        <v>98</v>
      </c>
      <c r="Q6" s="147" t="s">
        <v>98</v>
      </c>
      <c r="R6" s="146" t="s">
        <v>126</v>
      </c>
      <c r="S6" s="261" t="s">
        <v>61</v>
      </c>
      <c r="T6" s="261" t="s">
        <v>61</v>
      </c>
      <c r="U6" s="261" t="s">
        <v>61</v>
      </c>
      <c r="V6" s="261" t="s">
        <v>61</v>
      </c>
      <c r="W6" s="261" t="s">
        <v>61</v>
      </c>
      <c r="X6" s="261" t="s">
        <v>61</v>
      </c>
      <c r="Y6" s="261" t="s">
        <v>61</v>
      </c>
      <c r="Z6" s="261" t="s">
        <v>61</v>
      </c>
      <c r="AA6" s="261" t="s">
        <v>61</v>
      </c>
      <c r="AB6" s="261" t="s">
        <v>61</v>
      </c>
      <c r="AC6" s="261" t="s">
        <v>61</v>
      </c>
      <c r="AD6" s="261" t="s">
        <v>61</v>
      </c>
      <c r="AE6" s="261" t="s">
        <v>61</v>
      </c>
      <c r="AF6" s="261" t="s">
        <v>61</v>
      </c>
      <c r="AG6" s="261" t="s">
        <v>61</v>
      </c>
      <c r="AH6" s="261" t="s">
        <v>61</v>
      </c>
      <c r="AI6" s="261" t="s">
        <v>61</v>
      </c>
      <c r="AJ6" s="261" t="s">
        <v>61</v>
      </c>
      <c r="AK6" s="244">
        <f t="shared" si="1"/>
        <v>0</v>
      </c>
      <c r="AL6" s="244">
        <f t="shared" si="2"/>
        <v>0</v>
      </c>
      <c r="AM6" s="244">
        <f t="shared" si="3"/>
        <v>0</v>
      </c>
      <c r="AN6" s="244">
        <f t="shared" si="4"/>
        <v>0</v>
      </c>
      <c r="AO6" s="244">
        <f t="shared" si="5"/>
        <v>0</v>
      </c>
      <c r="AP6" s="244">
        <f t="shared" si="6"/>
        <v>0</v>
      </c>
      <c r="AQ6" s="244">
        <f t="shared" si="7"/>
        <v>0</v>
      </c>
      <c r="AR6" s="244">
        <f t="shared" si="8"/>
        <v>0</v>
      </c>
      <c r="AS6" s="244">
        <f t="shared" si="9"/>
        <v>0</v>
      </c>
      <c r="AT6" s="244">
        <f t="shared" si="10"/>
        <v>0</v>
      </c>
      <c r="AU6" s="244">
        <f t="shared" si="11"/>
        <v>0</v>
      </c>
      <c r="AV6" s="244">
        <f t="shared" si="12"/>
        <v>0</v>
      </c>
      <c r="AW6" s="244">
        <f t="shared" si="13"/>
        <v>0</v>
      </c>
      <c r="AX6" s="244">
        <f t="shared" si="14"/>
        <v>0</v>
      </c>
      <c r="AY6" s="244">
        <f t="shared" si="15"/>
        <v>0</v>
      </c>
      <c r="AZ6" s="244">
        <f t="shared" si="16"/>
        <v>0</v>
      </c>
      <c r="BA6" s="244">
        <f t="shared" si="17"/>
        <v>0</v>
      </c>
      <c r="BB6" s="244">
        <f t="shared" si="18"/>
        <v>0</v>
      </c>
    </row>
    <row r="7" spans="1:54" x14ac:dyDescent="0.2">
      <c r="A7" s="143">
        <v>4</v>
      </c>
      <c r="B7" s="143">
        <v>68</v>
      </c>
      <c r="C7" s="184" t="s">
        <v>52</v>
      </c>
      <c r="D7" s="144" t="s">
        <v>159</v>
      </c>
      <c r="E7" s="144" t="s">
        <v>259</v>
      </c>
      <c r="F7" s="144" t="s">
        <v>62</v>
      </c>
      <c r="G7" s="144" t="s">
        <v>88</v>
      </c>
      <c r="H7" s="144" t="s">
        <v>330</v>
      </c>
      <c r="I7" s="145">
        <v>100</v>
      </c>
      <c r="J7" s="147" t="s">
        <v>98</v>
      </c>
      <c r="K7" s="147" t="s">
        <v>98</v>
      </c>
      <c r="L7" s="147" t="s">
        <v>98</v>
      </c>
      <c r="M7" s="147" t="s">
        <v>98</v>
      </c>
      <c r="N7" s="147" t="s">
        <v>98</v>
      </c>
      <c r="O7" s="147" t="s">
        <v>98</v>
      </c>
      <c r="P7" s="147" t="s">
        <v>98</v>
      </c>
      <c r="Q7" s="147" t="s">
        <v>98</v>
      </c>
      <c r="R7" s="146" t="s">
        <v>126</v>
      </c>
      <c r="S7" s="261" t="s">
        <v>61</v>
      </c>
      <c r="T7" s="261" t="s">
        <v>61</v>
      </c>
      <c r="U7" s="261" t="s">
        <v>61</v>
      </c>
      <c r="V7" s="261" t="s">
        <v>61</v>
      </c>
      <c r="W7" s="261" t="s">
        <v>61</v>
      </c>
      <c r="X7" s="261" t="s">
        <v>61</v>
      </c>
      <c r="Y7" s="261" t="s">
        <v>61</v>
      </c>
      <c r="Z7" s="261" t="s">
        <v>61</v>
      </c>
      <c r="AA7" s="261" t="s">
        <v>61</v>
      </c>
      <c r="AB7" s="261" t="s">
        <v>61</v>
      </c>
      <c r="AC7" s="261" t="s">
        <v>61</v>
      </c>
      <c r="AD7" s="261" t="s">
        <v>61</v>
      </c>
      <c r="AE7" s="261" t="s">
        <v>61</v>
      </c>
      <c r="AF7" s="261" t="s">
        <v>61</v>
      </c>
      <c r="AG7" s="261" t="s">
        <v>61</v>
      </c>
      <c r="AH7" s="261" t="s">
        <v>61</v>
      </c>
      <c r="AI7" s="261" t="s">
        <v>61</v>
      </c>
      <c r="AJ7" s="261" t="s">
        <v>61</v>
      </c>
      <c r="AK7" s="244">
        <f t="shared" si="1"/>
        <v>0</v>
      </c>
      <c r="AL7" s="244">
        <f t="shared" si="2"/>
        <v>0</v>
      </c>
      <c r="AM7" s="244">
        <f t="shared" si="3"/>
        <v>0</v>
      </c>
      <c r="AN7" s="244">
        <f t="shared" si="4"/>
        <v>0</v>
      </c>
      <c r="AO7" s="244">
        <f t="shared" si="5"/>
        <v>0</v>
      </c>
      <c r="AP7" s="244">
        <f t="shared" si="6"/>
        <v>0</v>
      </c>
      <c r="AQ7" s="244">
        <f t="shared" si="7"/>
        <v>0</v>
      </c>
      <c r="AR7" s="244">
        <f t="shared" si="8"/>
        <v>0</v>
      </c>
      <c r="AS7" s="244">
        <f t="shared" si="9"/>
        <v>0</v>
      </c>
      <c r="AT7" s="244">
        <f t="shared" si="10"/>
        <v>0</v>
      </c>
      <c r="AU7" s="244">
        <f t="shared" si="11"/>
        <v>0</v>
      </c>
      <c r="AV7" s="244">
        <f t="shared" si="12"/>
        <v>0</v>
      </c>
      <c r="AW7" s="244">
        <f t="shared" si="13"/>
        <v>0</v>
      </c>
      <c r="AX7" s="244">
        <f t="shared" si="14"/>
        <v>0</v>
      </c>
      <c r="AY7" s="244">
        <f t="shared" si="15"/>
        <v>0</v>
      </c>
      <c r="AZ7" s="244">
        <f t="shared" si="16"/>
        <v>0</v>
      </c>
      <c r="BA7" s="244">
        <f t="shared" si="17"/>
        <v>0</v>
      </c>
      <c r="BB7" s="244">
        <f t="shared" si="18"/>
        <v>0</v>
      </c>
    </row>
    <row r="8" spans="1:54" x14ac:dyDescent="0.2">
      <c r="A8" s="143">
        <v>5</v>
      </c>
      <c r="B8" s="143">
        <v>216</v>
      </c>
      <c r="C8" s="184" t="s">
        <v>52</v>
      </c>
      <c r="D8" s="144" t="s">
        <v>187</v>
      </c>
      <c r="E8" s="144" t="s">
        <v>243</v>
      </c>
      <c r="F8" s="144" t="s">
        <v>52</v>
      </c>
      <c r="G8" s="144" t="s">
        <v>90</v>
      </c>
      <c r="H8" s="144" t="s">
        <v>330</v>
      </c>
      <c r="I8" s="145">
        <v>132</v>
      </c>
      <c r="J8" s="147" t="s">
        <v>98</v>
      </c>
      <c r="K8" s="147" t="s">
        <v>98</v>
      </c>
      <c r="L8" s="147" t="s">
        <v>98</v>
      </c>
      <c r="M8" s="147" t="s">
        <v>98</v>
      </c>
      <c r="N8" s="147" t="s">
        <v>98</v>
      </c>
      <c r="O8" s="147" t="s">
        <v>98</v>
      </c>
      <c r="P8" s="147" t="s">
        <v>98</v>
      </c>
      <c r="Q8" s="147" t="s">
        <v>98</v>
      </c>
      <c r="R8" s="146" t="s">
        <v>126</v>
      </c>
      <c r="S8" s="261" t="s">
        <v>61</v>
      </c>
      <c r="T8" s="261" t="s">
        <v>61</v>
      </c>
      <c r="U8" s="261" t="s">
        <v>61</v>
      </c>
      <c r="V8" s="261" t="s">
        <v>61</v>
      </c>
      <c r="W8" s="261" t="s">
        <v>61</v>
      </c>
      <c r="X8" s="261" t="s">
        <v>61</v>
      </c>
      <c r="Y8" s="261" t="s">
        <v>61</v>
      </c>
      <c r="Z8" s="261" t="s">
        <v>61</v>
      </c>
      <c r="AA8" s="261" t="s">
        <v>61</v>
      </c>
      <c r="AB8" s="261" t="s">
        <v>61</v>
      </c>
      <c r="AC8" s="261" t="s">
        <v>61</v>
      </c>
      <c r="AD8" s="261" t="s">
        <v>61</v>
      </c>
      <c r="AE8" s="261" t="s">
        <v>61</v>
      </c>
      <c r="AF8" s="261" t="s">
        <v>61</v>
      </c>
      <c r="AG8" s="261" t="s">
        <v>61</v>
      </c>
      <c r="AH8" s="261" t="s">
        <v>61</v>
      </c>
      <c r="AI8" s="261" t="s">
        <v>61</v>
      </c>
      <c r="AJ8" s="261" t="s">
        <v>61</v>
      </c>
      <c r="AK8" s="244">
        <f t="shared" si="1"/>
        <v>0</v>
      </c>
      <c r="AL8" s="244">
        <f t="shared" si="2"/>
        <v>0</v>
      </c>
      <c r="AM8" s="244">
        <f t="shared" si="3"/>
        <v>0</v>
      </c>
      <c r="AN8" s="244">
        <f t="shared" si="4"/>
        <v>0</v>
      </c>
      <c r="AO8" s="244">
        <f t="shared" si="5"/>
        <v>0</v>
      </c>
      <c r="AP8" s="244">
        <f t="shared" si="6"/>
        <v>0</v>
      </c>
      <c r="AQ8" s="244">
        <f t="shared" si="7"/>
        <v>0</v>
      </c>
      <c r="AR8" s="244">
        <f t="shared" si="8"/>
        <v>0</v>
      </c>
      <c r="AS8" s="244">
        <f t="shared" si="9"/>
        <v>0</v>
      </c>
      <c r="AT8" s="244">
        <f t="shared" si="10"/>
        <v>0</v>
      </c>
      <c r="AU8" s="244">
        <f t="shared" si="11"/>
        <v>0</v>
      </c>
      <c r="AV8" s="244">
        <f t="shared" si="12"/>
        <v>0</v>
      </c>
      <c r="AW8" s="244">
        <f t="shared" si="13"/>
        <v>0</v>
      </c>
      <c r="AX8" s="244">
        <f t="shared" si="14"/>
        <v>0</v>
      </c>
      <c r="AY8" s="244">
        <f t="shared" si="15"/>
        <v>0</v>
      </c>
      <c r="AZ8" s="244">
        <f t="shared" si="16"/>
        <v>0</v>
      </c>
      <c r="BA8" s="244">
        <f t="shared" si="17"/>
        <v>0</v>
      </c>
      <c r="BB8" s="244">
        <f t="shared" si="18"/>
        <v>0</v>
      </c>
    </row>
    <row r="9" spans="1:54" x14ac:dyDescent="0.2">
      <c r="A9" s="143">
        <v>6</v>
      </c>
      <c r="B9" s="143">
        <v>598</v>
      </c>
      <c r="C9" s="184" t="s">
        <v>52</v>
      </c>
      <c r="D9" s="144" t="s">
        <v>160</v>
      </c>
      <c r="E9" s="144" t="s">
        <v>225</v>
      </c>
      <c r="F9" s="144" t="s">
        <v>52</v>
      </c>
      <c r="G9" s="144" t="s">
        <v>283</v>
      </c>
      <c r="H9" s="144" t="s">
        <v>330</v>
      </c>
      <c r="I9" s="145">
        <v>100</v>
      </c>
      <c r="J9" s="147" t="s">
        <v>98</v>
      </c>
      <c r="K9" s="147" t="s">
        <v>98</v>
      </c>
      <c r="L9" s="147" t="s">
        <v>98</v>
      </c>
      <c r="M9" s="147" t="s">
        <v>98</v>
      </c>
      <c r="N9" s="147" t="s">
        <v>98</v>
      </c>
      <c r="O9" s="147" t="s">
        <v>98</v>
      </c>
      <c r="P9" s="147" t="s">
        <v>98</v>
      </c>
      <c r="Q9" s="147" t="s">
        <v>98</v>
      </c>
      <c r="R9" s="146" t="s">
        <v>126</v>
      </c>
      <c r="S9" s="261" t="s">
        <v>61</v>
      </c>
      <c r="T9" s="261" t="s">
        <v>61</v>
      </c>
      <c r="U9" s="261" t="s">
        <v>61</v>
      </c>
      <c r="V9" s="261" t="s">
        <v>61</v>
      </c>
      <c r="W9" s="261" t="s">
        <v>61</v>
      </c>
      <c r="X9" s="261" t="s">
        <v>61</v>
      </c>
      <c r="Y9" s="261" t="s">
        <v>61</v>
      </c>
      <c r="Z9" s="261" t="s">
        <v>61</v>
      </c>
      <c r="AA9" s="261" t="s">
        <v>61</v>
      </c>
      <c r="AB9" s="261" t="s">
        <v>61</v>
      </c>
      <c r="AC9" s="261" t="s">
        <v>61</v>
      </c>
      <c r="AD9" s="261" t="s">
        <v>61</v>
      </c>
      <c r="AE9" s="261" t="s">
        <v>61</v>
      </c>
      <c r="AF9" s="261" t="s">
        <v>61</v>
      </c>
      <c r="AG9" s="261" t="s">
        <v>61</v>
      </c>
      <c r="AH9" s="261" t="s">
        <v>61</v>
      </c>
      <c r="AI9" s="261" t="s">
        <v>61</v>
      </c>
      <c r="AJ9" s="261" t="s">
        <v>61</v>
      </c>
      <c r="AK9" s="244">
        <f t="shared" si="1"/>
        <v>0</v>
      </c>
      <c r="AL9" s="244">
        <f t="shared" si="2"/>
        <v>0</v>
      </c>
      <c r="AM9" s="244">
        <f t="shared" si="3"/>
        <v>0</v>
      </c>
      <c r="AN9" s="244">
        <f t="shared" si="4"/>
        <v>0</v>
      </c>
      <c r="AO9" s="244">
        <f t="shared" si="5"/>
        <v>0</v>
      </c>
      <c r="AP9" s="244">
        <f t="shared" si="6"/>
        <v>0</v>
      </c>
      <c r="AQ9" s="244">
        <f t="shared" si="7"/>
        <v>0</v>
      </c>
      <c r="AR9" s="244">
        <f t="shared" si="8"/>
        <v>0</v>
      </c>
      <c r="AS9" s="244">
        <f t="shared" si="9"/>
        <v>0</v>
      </c>
      <c r="AT9" s="244">
        <f t="shared" si="10"/>
        <v>0</v>
      </c>
      <c r="AU9" s="244">
        <f t="shared" si="11"/>
        <v>0</v>
      </c>
      <c r="AV9" s="244">
        <f t="shared" si="12"/>
        <v>0</v>
      </c>
      <c r="AW9" s="244">
        <f t="shared" si="13"/>
        <v>0</v>
      </c>
      <c r="AX9" s="244">
        <f t="shared" si="14"/>
        <v>0</v>
      </c>
      <c r="AY9" s="244">
        <f t="shared" si="15"/>
        <v>0</v>
      </c>
      <c r="AZ9" s="244">
        <f t="shared" si="16"/>
        <v>0</v>
      </c>
      <c r="BA9" s="244">
        <f t="shared" si="17"/>
        <v>0</v>
      </c>
      <c r="BB9" s="244">
        <f t="shared" si="18"/>
        <v>0</v>
      </c>
    </row>
    <row r="10" spans="1:54" x14ac:dyDescent="0.2">
      <c r="A10" s="143">
        <v>7</v>
      </c>
      <c r="B10" s="143">
        <v>467</v>
      </c>
      <c r="C10" s="184" t="s">
        <v>52</v>
      </c>
      <c r="D10" s="144" t="s">
        <v>161</v>
      </c>
      <c r="E10" s="144" t="s">
        <v>224</v>
      </c>
      <c r="F10" s="144" t="s">
        <v>58</v>
      </c>
      <c r="G10" s="144" t="s">
        <v>286</v>
      </c>
      <c r="H10" s="144" t="s">
        <v>330</v>
      </c>
      <c r="I10" s="145">
        <v>36.58</v>
      </c>
      <c r="J10" s="147" t="s">
        <v>98</v>
      </c>
      <c r="K10" s="147" t="s">
        <v>98</v>
      </c>
      <c r="L10" s="147" t="s">
        <v>98</v>
      </c>
      <c r="M10" s="147" t="s">
        <v>98</v>
      </c>
      <c r="N10" s="147" t="s">
        <v>98</v>
      </c>
      <c r="O10" s="147" t="s">
        <v>98</v>
      </c>
      <c r="P10" s="147" t="s">
        <v>98</v>
      </c>
      <c r="Q10" s="147" t="s">
        <v>98</v>
      </c>
      <c r="R10" s="146" t="s">
        <v>126</v>
      </c>
      <c r="S10" s="261" t="s">
        <v>61</v>
      </c>
      <c r="T10" s="261" t="s">
        <v>61</v>
      </c>
      <c r="U10" s="261" t="s">
        <v>61</v>
      </c>
      <c r="V10" s="261" t="s">
        <v>61</v>
      </c>
      <c r="W10" s="261" t="s">
        <v>61</v>
      </c>
      <c r="X10" s="261" t="s">
        <v>61</v>
      </c>
      <c r="Y10" s="261" t="s">
        <v>61</v>
      </c>
      <c r="Z10" s="261" t="s">
        <v>61</v>
      </c>
      <c r="AA10" s="261" t="s">
        <v>61</v>
      </c>
      <c r="AB10" s="261" t="s">
        <v>61</v>
      </c>
      <c r="AC10" s="261" t="s">
        <v>61</v>
      </c>
      <c r="AD10" s="261" t="s">
        <v>61</v>
      </c>
      <c r="AE10" s="261" t="s">
        <v>61</v>
      </c>
      <c r="AF10" s="261" t="s">
        <v>61</v>
      </c>
      <c r="AG10" s="261" t="s">
        <v>61</v>
      </c>
      <c r="AH10" s="261" t="s">
        <v>61</v>
      </c>
      <c r="AI10" s="261" t="s">
        <v>61</v>
      </c>
      <c r="AJ10" s="261" t="s">
        <v>61</v>
      </c>
      <c r="AK10" s="244">
        <f t="shared" si="1"/>
        <v>0</v>
      </c>
      <c r="AL10" s="244">
        <f t="shared" si="2"/>
        <v>0</v>
      </c>
      <c r="AM10" s="244">
        <f t="shared" si="3"/>
        <v>0</v>
      </c>
      <c r="AN10" s="244">
        <f t="shared" si="4"/>
        <v>0</v>
      </c>
      <c r="AO10" s="244">
        <f t="shared" si="5"/>
        <v>0</v>
      </c>
      <c r="AP10" s="244">
        <f t="shared" si="6"/>
        <v>0</v>
      </c>
      <c r="AQ10" s="244">
        <f t="shared" si="7"/>
        <v>0</v>
      </c>
      <c r="AR10" s="244">
        <f t="shared" si="8"/>
        <v>0</v>
      </c>
      <c r="AS10" s="244">
        <f t="shared" si="9"/>
        <v>0</v>
      </c>
      <c r="AT10" s="244">
        <f t="shared" si="10"/>
        <v>0</v>
      </c>
      <c r="AU10" s="244">
        <f t="shared" si="11"/>
        <v>0</v>
      </c>
      <c r="AV10" s="244">
        <f t="shared" si="12"/>
        <v>0</v>
      </c>
      <c r="AW10" s="244">
        <f t="shared" si="13"/>
        <v>0</v>
      </c>
      <c r="AX10" s="244">
        <f t="shared" si="14"/>
        <v>0</v>
      </c>
      <c r="AY10" s="244">
        <f t="shared" si="15"/>
        <v>0</v>
      </c>
      <c r="AZ10" s="244">
        <f t="shared" si="16"/>
        <v>0</v>
      </c>
      <c r="BA10" s="244">
        <f t="shared" si="17"/>
        <v>0</v>
      </c>
      <c r="BB10" s="244">
        <f t="shared" si="18"/>
        <v>0</v>
      </c>
    </row>
    <row r="11" spans="1:54" x14ac:dyDescent="0.2">
      <c r="A11" s="143">
        <v>8</v>
      </c>
      <c r="B11" s="143">
        <v>508</v>
      </c>
      <c r="C11" s="184" t="s">
        <v>52</v>
      </c>
      <c r="D11" s="144" t="s">
        <v>162</v>
      </c>
      <c r="E11" s="144" t="s">
        <v>229</v>
      </c>
      <c r="F11" s="144" t="s">
        <v>58</v>
      </c>
      <c r="G11" s="144" t="s">
        <v>229</v>
      </c>
      <c r="H11" s="144" t="s">
        <v>330</v>
      </c>
      <c r="I11" s="145">
        <v>50</v>
      </c>
      <c r="J11" s="147" t="s">
        <v>98</v>
      </c>
      <c r="K11" s="147" t="s">
        <v>98</v>
      </c>
      <c r="L11" s="147" t="s">
        <v>98</v>
      </c>
      <c r="M11" s="147" t="s">
        <v>98</v>
      </c>
      <c r="N11" s="147" t="s">
        <v>98</v>
      </c>
      <c r="O11" s="147" t="s">
        <v>98</v>
      </c>
      <c r="P11" s="147" t="s">
        <v>98</v>
      </c>
      <c r="Q11" s="147" t="s">
        <v>98</v>
      </c>
      <c r="R11" s="146" t="s">
        <v>126</v>
      </c>
      <c r="S11" s="261" t="s">
        <v>61</v>
      </c>
      <c r="T11" s="261" t="s">
        <v>61</v>
      </c>
      <c r="U11" s="261" t="s">
        <v>61</v>
      </c>
      <c r="V11" s="261" t="s">
        <v>61</v>
      </c>
      <c r="W11" s="261" t="s">
        <v>61</v>
      </c>
      <c r="X11" s="261" t="s">
        <v>61</v>
      </c>
      <c r="Y11" s="261" t="s">
        <v>61</v>
      </c>
      <c r="Z11" s="261" t="s">
        <v>61</v>
      </c>
      <c r="AA11" s="261" t="s">
        <v>61</v>
      </c>
      <c r="AB11" s="261" t="s">
        <v>61</v>
      </c>
      <c r="AC11" s="261" t="s">
        <v>61</v>
      </c>
      <c r="AD11" s="261" t="s">
        <v>61</v>
      </c>
      <c r="AE11" s="261" t="s">
        <v>61</v>
      </c>
      <c r="AF11" s="261" t="s">
        <v>61</v>
      </c>
      <c r="AG11" s="261" t="s">
        <v>61</v>
      </c>
      <c r="AH11" s="261" t="s">
        <v>61</v>
      </c>
      <c r="AI11" s="261" t="s">
        <v>61</v>
      </c>
      <c r="AJ11" s="261" t="s">
        <v>61</v>
      </c>
      <c r="AK11" s="244">
        <f t="shared" si="1"/>
        <v>0</v>
      </c>
      <c r="AL11" s="244">
        <f t="shared" si="2"/>
        <v>0</v>
      </c>
      <c r="AM11" s="244">
        <f t="shared" si="3"/>
        <v>0</v>
      </c>
      <c r="AN11" s="244">
        <f t="shared" si="4"/>
        <v>0</v>
      </c>
      <c r="AO11" s="244">
        <f t="shared" si="5"/>
        <v>0</v>
      </c>
      <c r="AP11" s="244">
        <f t="shared" si="6"/>
        <v>0</v>
      </c>
      <c r="AQ11" s="244">
        <f t="shared" si="7"/>
        <v>0</v>
      </c>
      <c r="AR11" s="244">
        <f t="shared" si="8"/>
        <v>0</v>
      </c>
      <c r="AS11" s="244">
        <f t="shared" si="9"/>
        <v>0</v>
      </c>
      <c r="AT11" s="244">
        <f t="shared" si="10"/>
        <v>0</v>
      </c>
      <c r="AU11" s="244">
        <f t="shared" si="11"/>
        <v>0</v>
      </c>
      <c r="AV11" s="244">
        <f t="shared" si="12"/>
        <v>0</v>
      </c>
      <c r="AW11" s="244">
        <f t="shared" si="13"/>
        <v>0</v>
      </c>
      <c r="AX11" s="244">
        <f t="shared" si="14"/>
        <v>0</v>
      </c>
      <c r="AY11" s="244">
        <f t="shared" si="15"/>
        <v>0</v>
      </c>
      <c r="AZ11" s="244">
        <f t="shared" si="16"/>
        <v>0</v>
      </c>
      <c r="BA11" s="244">
        <f t="shared" si="17"/>
        <v>0</v>
      </c>
      <c r="BB11" s="244">
        <f t="shared" si="18"/>
        <v>0</v>
      </c>
    </row>
    <row r="12" spans="1:54" x14ac:dyDescent="0.2">
      <c r="A12" s="143">
        <v>9</v>
      </c>
      <c r="B12" s="143">
        <v>201</v>
      </c>
      <c r="C12" s="184" t="s">
        <v>52</v>
      </c>
      <c r="D12" s="144" t="s">
        <v>158</v>
      </c>
      <c r="E12" s="144" t="s">
        <v>230</v>
      </c>
      <c r="F12" s="144" t="s">
        <v>58</v>
      </c>
      <c r="G12" s="144" t="s">
        <v>229</v>
      </c>
      <c r="H12" s="144" t="s">
        <v>330</v>
      </c>
      <c r="I12" s="145">
        <v>30</v>
      </c>
      <c r="J12" s="147" t="s">
        <v>98</v>
      </c>
      <c r="K12" s="147" t="s">
        <v>98</v>
      </c>
      <c r="L12" s="147" t="s">
        <v>98</v>
      </c>
      <c r="M12" s="147" t="s">
        <v>98</v>
      </c>
      <c r="N12" s="147" t="s">
        <v>98</v>
      </c>
      <c r="O12" s="147" t="s">
        <v>98</v>
      </c>
      <c r="P12" s="147" t="s">
        <v>98</v>
      </c>
      <c r="Q12" s="147" t="s">
        <v>98</v>
      </c>
      <c r="R12" s="146" t="s">
        <v>126</v>
      </c>
      <c r="S12" s="261" t="s">
        <v>61</v>
      </c>
      <c r="T12" s="261" t="s">
        <v>61</v>
      </c>
      <c r="U12" s="261" t="s">
        <v>61</v>
      </c>
      <c r="V12" s="261" t="s">
        <v>61</v>
      </c>
      <c r="W12" s="261" t="s">
        <v>61</v>
      </c>
      <c r="X12" s="261" t="s">
        <v>61</v>
      </c>
      <c r="Y12" s="261" t="s">
        <v>61</v>
      </c>
      <c r="Z12" s="261" t="s">
        <v>61</v>
      </c>
      <c r="AA12" s="261" t="s">
        <v>61</v>
      </c>
      <c r="AB12" s="261" t="s">
        <v>61</v>
      </c>
      <c r="AC12" s="261" t="s">
        <v>61</v>
      </c>
      <c r="AD12" s="261" t="s">
        <v>61</v>
      </c>
      <c r="AE12" s="261" t="s">
        <v>61</v>
      </c>
      <c r="AF12" s="261" t="s">
        <v>61</v>
      </c>
      <c r="AG12" s="261" t="s">
        <v>61</v>
      </c>
      <c r="AH12" s="261" t="s">
        <v>61</v>
      </c>
      <c r="AI12" s="261" t="s">
        <v>61</v>
      </c>
      <c r="AJ12" s="261" t="s">
        <v>61</v>
      </c>
      <c r="AK12" s="244">
        <f t="shared" si="1"/>
        <v>0</v>
      </c>
      <c r="AL12" s="244">
        <f t="shared" si="2"/>
        <v>0</v>
      </c>
      <c r="AM12" s="244">
        <f t="shared" si="3"/>
        <v>0</v>
      </c>
      <c r="AN12" s="244">
        <f t="shared" si="4"/>
        <v>0</v>
      </c>
      <c r="AO12" s="244">
        <f t="shared" si="5"/>
        <v>0</v>
      </c>
      <c r="AP12" s="244">
        <f t="shared" si="6"/>
        <v>0</v>
      </c>
      <c r="AQ12" s="244">
        <f t="shared" si="7"/>
        <v>0</v>
      </c>
      <c r="AR12" s="244">
        <f t="shared" si="8"/>
        <v>0</v>
      </c>
      <c r="AS12" s="244">
        <f t="shared" si="9"/>
        <v>0</v>
      </c>
      <c r="AT12" s="244">
        <f t="shared" si="10"/>
        <v>0</v>
      </c>
      <c r="AU12" s="244">
        <f t="shared" si="11"/>
        <v>0</v>
      </c>
      <c r="AV12" s="244">
        <f t="shared" si="12"/>
        <v>0</v>
      </c>
      <c r="AW12" s="244">
        <f t="shared" si="13"/>
        <v>0</v>
      </c>
      <c r="AX12" s="244">
        <f t="shared" si="14"/>
        <v>0</v>
      </c>
      <c r="AY12" s="244">
        <f t="shared" si="15"/>
        <v>0</v>
      </c>
      <c r="AZ12" s="244">
        <f t="shared" si="16"/>
        <v>0</v>
      </c>
      <c r="BA12" s="244">
        <f t="shared" si="17"/>
        <v>0</v>
      </c>
      <c r="BB12" s="244">
        <f t="shared" si="18"/>
        <v>0</v>
      </c>
    </row>
    <row r="13" spans="1:54" x14ac:dyDescent="0.2">
      <c r="A13" s="143">
        <v>10</v>
      </c>
      <c r="B13" s="143">
        <v>658</v>
      </c>
      <c r="C13" s="184" t="s">
        <v>52</v>
      </c>
      <c r="D13" s="144" t="s">
        <v>182</v>
      </c>
      <c r="E13" s="144" t="s">
        <v>247</v>
      </c>
      <c r="F13" s="144" t="s">
        <v>58</v>
      </c>
      <c r="G13" s="144" t="s">
        <v>87</v>
      </c>
      <c r="H13" s="144" t="s">
        <v>330</v>
      </c>
      <c r="I13" s="145">
        <v>30</v>
      </c>
      <c r="J13" s="147" t="s">
        <v>98</v>
      </c>
      <c r="K13" s="147" t="s">
        <v>98</v>
      </c>
      <c r="L13" s="147" t="s">
        <v>98</v>
      </c>
      <c r="M13" s="147" t="s">
        <v>98</v>
      </c>
      <c r="N13" s="147" t="s">
        <v>98</v>
      </c>
      <c r="O13" s="147" t="s">
        <v>98</v>
      </c>
      <c r="P13" s="147" t="s">
        <v>98</v>
      </c>
      <c r="Q13" s="147" t="s">
        <v>98</v>
      </c>
      <c r="R13" s="146" t="s">
        <v>126</v>
      </c>
      <c r="S13" s="261" t="s">
        <v>61</v>
      </c>
      <c r="T13" s="261" t="s">
        <v>61</v>
      </c>
      <c r="U13" s="261" t="s">
        <v>61</v>
      </c>
      <c r="V13" s="261" t="s">
        <v>61</v>
      </c>
      <c r="W13" s="261" t="s">
        <v>61</v>
      </c>
      <c r="X13" s="261" t="s">
        <v>61</v>
      </c>
      <c r="Y13" s="261" t="s">
        <v>61</v>
      </c>
      <c r="Z13" s="261" t="s">
        <v>61</v>
      </c>
      <c r="AA13" s="261" t="s">
        <v>61</v>
      </c>
      <c r="AB13" s="261" t="s">
        <v>61</v>
      </c>
      <c r="AC13" s="261" t="s">
        <v>61</v>
      </c>
      <c r="AD13" s="261" t="s">
        <v>61</v>
      </c>
      <c r="AE13" s="261" t="s">
        <v>61</v>
      </c>
      <c r="AF13" s="261" t="s">
        <v>61</v>
      </c>
      <c r="AG13" s="261" t="s">
        <v>61</v>
      </c>
      <c r="AH13" s="261" t="s">
        <v>61</v>
      </c>
      <c r="AI13" s="261" t="s">
        <v>61</v>
      </c>
      <c r="AJ13" s="261" t="s">
        <v>61</v>
      </c>
      <c r="AK13" s="244">
        <f t="shared" si="1"/>
        <v>0</v>
      </c>
      <c r="AL13" s="244">
        <f t="shared" si="2"/>
        <v>0</v>
      </c>
      <c r="AM13" s="244">
        <f t="shared" si="3"/>
        <v>0</v>
      </c>
      <c r="AN13" s="244">
        <f t="shared" si="4"/>
        <v>0</v>
      </c>
      <c r="AO13" s="244">
        <f t="shared" si="5"/>
        <v>0</v>
      </c>
      <c r="AP13" s="244">
        <f t="shared" si="6"/>
        <v>0</v>
      </c>
      <c r="AQ13" s="244">
        <f t="shared" si="7"/>
        <v>0</v>
      </c>
      <c r="AR13" s="244">
        <f t="shared" si="8"/>
        <v>0</v>
      </c>
      <c r="AS13" s="244">
        <f t="shared" si="9"/>
        <v>0</v>
      </c>
      <c r="AT13" s="244">
        <f t="shared" si="10"/>
        <v>0</v>
      </c>
      <c r="AU13" s="244">
        <f t="shared" si="11"/>
        <v>0</v>
      </c>
      <c r="AV13" s="244">
        <f t="shared" si="12"/>
        <v>0</v>
      </c>
      <c r="AW13" s="244">
        <f t="shared" si="13"/>
        <v>0</v>
      </c>
      <c r="AX13" s="244">
        <f t="shared" si="14"/>
        <v>0</v>
      </c>
      <c r="AY13" s="244">
        <f t="shared" si="15"/>
        <v>0</v>
      </c>
      <c r="AZ13" s="244">
        <f t="shared" si="16"/>
        <v>0</v>
      </c>
      <c r="BA13" s="244">
        <f t="shared" si="17"/>
        <v>0</v>
      </c>
      <c r="BB13" s="244">
        <f t="shared" si="18"/>
        <v>0</v>
      </c>
    </row>
    <row r="14" spans="1:54" x14ac:dyDescent="0.2">
      <c r="A14" s="143">
        <v>11</v>
      </c>
      <c r="B14" s="143">
        <v>684</v>
      </c>
      <c r="C14" s="184" t="s">
        <v>52</v>
      </c>
      <c r="D14" s="144" t="s">
        <v>183</v>
      </c>
      <c r="E14" s="144" t="s">
        <v>221</v>
      </c>
      <c r="F14" s="144" t="s">
        <v>58</v>
      </c>
      <c r="G14" s="144" t="s">
        <v>87</v>
      </c>
      <c r="H14" s="144" t="s">
        <v>330</v>
      </c>
      <c r="I14" s="145">
        <v>40</v>
      </c>
      <c r="J14" s="147" t="s">
        <v>98</v>
      </c>
      <c r="K14" s="147" t="s">
        <v>98</v>
      </c>
      <c r="L14" s="147" t="s">
        <v>98</v>
      </c>
      <c r="M14" s="147" t="s">
        <v>98</v>
      </c>
      <c r="N14" s="147" t="s">
        <v>98</v>
      </c>
      <c r="O14" s="147" t="s">
        <v>98</v>
      </c>
      <c r="P14" s="147" t="s">
        <v>98</v>
      </c>
      <c r="Q14" s="147" t="s">
        <v>98</v>
      </c>
      <c r="R14" s="146" t="s">
        <v>126</v>
      </c>
      <c r="S14" s="261" t="s">
        <v>61</v>
      </c>
      <c r="T14" s="261" t="s">
        <v>61</v>
      </c>
      <c r="U14" s="261" t="s">
        <v>61</v>
      </c>
      <c r="V14" s="261" t="s">
        <v>61</v>
      </c>
      <c r="W14" s="261" t="s">
        <v>61</v>
      </c>
      <c r="X14" s="261" t="s">
        <v>61</v>
      </c>
      <c r="Y14" s="261" t="s">
        <v>61</v>
      </c>
      <c r="Z14" s="261" t="s">
        <v>61</v>
      </c>
      <c r="AA14" s="261" t="s">
        <v>61</v>
      </c>
      <c r="AB14" s="261" t="s">
        <v>61</v>
      </c>
      <c r="AC14" s="261" t="s">
        <v>61</v>
      </c>
      <c r="AD14" s="261" t="s">
        <v>61</v>
      </c>
      <c r="AE14" s="261" t="s">
        <v>61</v>
      </c>
      <c r="AF14" s="261" t="s">
        <v>61</v>
      </c>
      <c r="AG14" s="261" t="s">
        <v>61</v>
      </c>
      <c r="AH14" s="261" t="s">
        <v>61</v>
      </c>
      <c r="AI14" s="261" t="s">
        <v>61</v>
      </c>
      <c r="AJ14" s="261" t="s">
        <v>61</v>
      </c>
      <c r="AK14" s="244">
        <f t="shared" si="1"/>
        <v>0</v>
      </c>
      <c r="AL14" s="244">
        <f t="shared" si="2"/>
        <v>0</v>
      </c>
      <c r="AM14" s="244">
        <f t="shared" si="3"/>
        <v>0</v>
      </c>
      <c r="AN14" s="244">
        <f t="shared" si="4"/>
        <v>0</v>
      </c>
      <c r="AO14" s="244">
        <f t="shared" si="5"/>
        <v>0</v>
      </c>
      <c r="AP14" s="244">
        <f t="shared" si="6"/>
        <v>0</v>
      </c>
      <c r="AQ14" s="244">
        <f t="shared" si="7"/>
        <v>0</v>
      </c>
      <c r="AR14" s="244">
        <f t="shared" si="8"/>
        <v>0</v>
      </c>
      <c r="AS14" s="244">
        <f t="shared" si="9"/>
        <v>0</v>
      </c>
      <c r="AT14" s="244">
        <f t="shared" si="10"/>
        <v>0</v>
      </c>
      <c r="AU14" s="244">
        <f t="shared" si="11"/>
        <v>0</v>
      </c>
      <c r="AV14" s="244">
        <f t="shared" si="12"/>
        <v>0</v>
      </c>
      <c r="AW14" s="244">
        <f t="shared" si="13"/>
        <v>0</v>
      </c>
      <c r="AX14" s="244">
        <f t="shared" si="14"/>
        <v>0</v>
      </c>
      <c r="AY14" s="244">
        <f t="shared" si="15"/>
        <v>0</v>
      </c>
      <c r="AZ14" s="244">
        <f t="shared" si="16"/>
        <v>0</v>
      </c>
      <c r="BA14" s="244">
        <f t="shared" si="17"/>
        <v>0</v>
      </c>
      <c r="BB14" s="244">
        <f t="shared" si="18"/>
        <v>0</v>
      </c>
    </row>
    <row r="15" spans="1:54" x14ac:dyDescent="0.2">
      <c r="A15" s="143">
        <v>12</v>
      </c>
      <c r="B15" s="143">
        <v>187</v>
      </c>
      <c r="C15" s="184" t="s">
        <v>152</v>
      </c>
      <c r="D15" s="144" t="s">
        <v>163</v>
      </c>
      <c r="E15" s="144" t="s">
        <v>217</v>
      </c>
      <c r="F15" s="144" t="s">
        <v>281</v>
      </c>
      <c r="G15" s="144" t="s">
        <v>292</v>
      </c>
      <c r="H15" s="144" t="s">
        <v>330</v>
      </c>
      <c r="I15" s="145">
        <v>100</v>
      </c>
      <c r="J15" s="147" t="s">
        <v>98</v>
      </c>
      <c r="K15" s="147" t="s">
        <v>98</v>
      </c>
      <c r="L15" s="147" t="s">
        <v>98</v>
      </c>
      <c r="M15" s="147" t="s">
        <v>98</v>
      </c>
      <c r="N15" s="147" t="s">
        <v>98</v>
      </c>
      <c r="O15" s="147" t="s">
        <v>98</v>
      </c>
      <c r="P15" s="147" t="s">
        <v>98</v>
      </c>
      <c r="Q15" s="147" t="s">
        <v>98</v>
      </c>
      <c r="R15" s="146" t="s">
        <v>126</v>
      </c>
      <c r="S15" s="261" t="s">
        <v>61</v>
      </c>
      <c r="T15" s="261" t="s">
        <v>61</v>
      </c>
      <c r="U15" s="261" t="s">
        <v>61</v>
      </c>
      <c r="V15" s="261" t="s">
        <v>61</v>
      </c>
      <c r="W15" s="261" t="s">
        <v>61</v>
      </c>
      <c r="X15" s="261" t="s">
        <v>61</v>
      </c>
      <c r="Y15" s="261" t="s">
        <v>61</v>
      </c>
      <c r="Z15" s="261" t="s">
        <v>61</v>
      </c>
      <c r="AA15" s="261" t="s">
        <v>61</v>
      </c>
      <c r="AB15" s="261" t="s">
        <v>61</v>
      </c>
      <c r="AC15" s="261" t="s">
        <v>61</v>
      </c>
      <c r="AD15" s="261" t="s">
        <v>61</v>
      </c>
      <c r="AE15" s="261" t="s">
        <v>61</v>
      </c>
      <c r="AF15" s="261" t="s">
        <v>61</v>
      </c>
      <c r="AG15" s="261" t="s">
        <v>61</v>
      </c>
      <c r="AH15" s="261" t="s">
        <v>61</v>
      </c>
      <c r="AI15" s="261" t="s">
        <v>61</v>
      </c>
      <c r="AJ15" s="261" t="s">
        <v>61</v>
      </c>
      <c r="AK15" s="244">
        <f t="shared" si="1"/>
        <v>0</v>
      </c>
      <c r="AL15" s="244">
        <f t="shared" si="2"/>
        <v>0</v>
      </c>
      <c r="AM15" s="244">
        <f t="shared" si="3"/>
        <v>0</v>
      </c>
      <c r="AN15" s="244">
        <f t="shared" si="4"/>
        <v>0</v>
      </c>
      <c r="AO15" s="244">
        <f t="shared" si="5"/>
        <v>0</v>
      </c>
      <c r="AP15" s="244">
        <f t="shared" si="6"/>
        <v>0</v>
      </c>
      <c r="AQ15" s="244">
        <f t="shared" si="7"/>
        <v>0</v>
      </c>
      <c r="AR15" s="244">
        <f t="shared" si="8"/>
        <v>0</v>
      </c>
      <c r="AS15" s="244">
        <f t="shared" si="9"/>
        <v>0</v>
      </c>
      <c r="AT15" s="244">
        <f t="shared" si="10"/>
        <v>0</v>
      </c>
      <c r="AU15" s="244">
        <f t="shared" si="11"/>
        <v>0</v>
      </c>
      <c r="AV15" s="244">
        <f t="shared" si="12"/>
        <v>0</v>
      </c>
      <c r="AW15" s="244">
        <f t="shared" si="13"/>
        <v>0</v>
      </c>
      <c r="AX15" s="244">
        <f t="shared" si="14"/>
        <v>0</v>
      </c>
      <c r="AY15" s="244">
        <f t="shared" si="15"/>
        <v>0</v>
      </c>
      <c r="AZ15" s="244">
        <f t="shared" si="16"/>
        <v>0</v>
      </c>
      <c r="BA15" s="244">
        <f t="shared" si="17"/>
        <v>0</v>
      </c>
      <c r="BB15" s="244">
        <f t="shared" si="18"/>
        <v>0</v>
      </c>
    </row>
    <row r="16" spans="1:54" x14ac:dyDescent="0.2">
      <c r="A16" s="143">
        <v>13</v>
      </c>
      <c r="B16" s="143">
        <v>425</v>
      </c>
      <c r="C16" s="184" t="s">
        <v>152</v>
      </c>
      <c r="D16" s="144" t="s">
        <v>164</v>
      </c>
      <c r="E16" s="144" t="s">
        <v>218</v>
      </c>
      <c r="F16" s="144" t="s">
        <v>281</v>
      </c>
      <c r="G16" s="144" t="s">
        <v>323</v>
      </c>
      <c r="H16" s="144" t="s">
        <v>330</v>
      </c>
      <c r="I16" s="145">
        <v>90</v>
      </c>
      <c r="J16" s="147" t="s">
        <v>98</v>
      </c>
      <c r="K16" s="147" t="s">
        <v>98</v>
      </c>
      <c r="L16" s="147" t="s">
        <v>98</v>
      </c>
      <c r="M16" s="147" t="s">
        <v>98</v>
      </c>
      <c r="N16" s="147" t="s">
        <v>98</v>
      </c>
      <c r="O16" s="147" t="s">
        <v>98</v>
      </c>
      <c r="P16" s="147" t="s">
        <v>98</v>
      </c>
      <c r="Q16" s="147" t="s">
        <v>98</v>
      </c>
      <c r="R16" s="146" t="s">
        <v>126</v>
      </c>
      <c r="S16" s="261" t="s">
        <v>61</v>
      </c>
      <c r="T16" s="261" t="s">
        <v>61</v>
      </c>
      <c r="U16" s="261" t="s">
        <v>61</v>
      </c>
      <c r="V16" s="261" t="s">
        <v>61</v>
      </c>
      <c r="W16" s="261" t="s">
        <v>61</v>
      </c>
      <c r="X16" s="261" t="s">
        <v>61</v>
      </c>
      <c r="Y16" s="261" t="s">
        <v>61</v>
      </c>
      <c r="Z16" s="261" t="s">
        <v>61</v>
      </c>
      <c r="AA16" s="261" t="s">
        <v>61</v>
      </c>
      <c r="AB16" s="261" t="s">
        <v>61</v>
      </c>
      <c r="AC16" s="261" t="s">
        <v>61</v>
      </c>
      <c r="AD16" s="261" t="s">
        <v>61</v>
      </c>
      <c r="AE16" s="261" t="s">
        <v>61</v>
      </c>
      <c r="AF16" s="261" t="s">
        <v>61</v>
      </c>
      <c r="AG16" s="261" t="s">
        <v>61</v>
      </c>
      <c r="AH16" s="261" t="s">
        <v>61</v>
      </c>
      <c r="AI16" s="261" t="s">
        <v>61</v>
      </c>
      <c r="AJ16" s="261" t="s">
        <v>61</v>
      </c>
      <c r="AK16" s="244">
        <f t="shared" si="1"/>
        <v>0</v>
      </c>
      <c r="AL16" s="244">
        <f t="shared" si="2"/>
        <v>0</v>
      </c>
      <c r="AM16" s="244">
        <f t="shared" si="3"/>
        <v>0</v>
      </c>
      <c r="AN16" s="244">
        <f t="shared" si="4"/>
        <v>0</v>
      </c>
      <c r="AO16" s="244">
        <f t="shared" si="5"/>
        <v>0</v>
      </c>
      <c r="AP16" s="244">
        <f t="shared" si="6"/>
        <v>0</v>
      </c>
      <c r="AQ16" s="244">
        <f t="shared" si="7"/>
        <v>0</v>
      </c>
      <c r="AR16" s="244">
        <f t="shared" si="8"/>
        <v>0</v>
      </c>
      <c r="AS16" s="244">
        <f t="shared" si="9"/>
        <v>0</v>
      </c>
      <c r="AT16" s="244">
        <f t="shared" si="10"/>
        <v>0</v>
      </c>
      <c r="AU16" s="244">
        <f t="shared" si="11"/>
        <v>0</v>
      </c>
      <c r="AV16" s="244">
        <f t="shared" si="12"/>
        <v>0</v>
      </c>
      <c r="AW16" s="244">
        <f t="shared" si="13"/>
        <v>0</v>
      </c>
      <c r="AX16" s="244">
        <f t="shared" si="14"/>
        <v>0</v>
      </c>
      <c r="AY16" s="244">
        <f t="shared" si="15"/>
        <v>0</v>
      </c>
      <c r="AZ16" s="244">
        <f t="shared" si="16"/>
        <v>0</v>
      </c>
      <c r="BA16" s="244">
        <f t="shared" si="17"/>
        <v>0</v>
      </c>
      <c r="BB16" s="244">
        <f t="shared" si="18"/>
        <v>0</v>
      </c>
    </row>
    <row r="17" spans="1:54" x14ac:dyDescent="0.2">
      <c r="A17" s="143">
        <v>14</v>
      </c>
      <c r="B17" s="143">
        <v>545</v>
      </c>
      <c r="C17" s="184" t="s">
        <v>152</v>
      </c>
      <c r="D17" s="144" t="s">
        <v>165</v>
      </c>
      <c r="E17" s="144" t="s">
        <v>270</v>
      </c>
      <c r="F17" s="144" t="s">
        <v>281</v>
      </c>
      <c r="G17" s="144" t="s">
        <v>325</v>
      </c>
      <c r="H17" s="144" t="s">
        <v>330</v>
      </c>
      <c r="I17" s="145">
        <v>59.7</v>
      </c>
      <c r="J17" s="147" t="s">
        <v>98</v>
      </c>
      <c r="K17" s="147" t="s">
        <v>98</v>
      </c>
      <c r="L17" s="147" t="s">
        <v>98</v>
      </c>
      <c r="M17" s="147" t="s">
        <v>98</v>
      </c>
      <c r="N17" s="147" t="s">
        <v>98</v>
      </c>
      <c r="O17" s="147" t="s">
        <v>98</v>
      </c>
      <c r="P17" s="147" t="s">
        <v>98</v>
      </c>
      <c r="Q17" s="147" t="s">
        <v>98</v>
      </c>
      <c r="R17" s="146" t="s">
        <v>126</v>
      </c>
      <c r="S17" s="261" t="s">
        <v>61</v>
      </c>
      <c r="T17" s="261" t="s">
        <v>61</v>
      </c>
      <c r="U17" s="261" t="s">
        <v>61</v>
      </c>
      <c r="V17" s="261" t="s">
        <v>61</v>
      </c>
      <c r="W17" s="261" t="s">
        <v>61</v>
      </c>
      <c r="X17" s="261" t="s">
        <v>61</v>
      </c>
      <c r="Y17" s="261" t="s">
        <v>61</v>
      </c>
      <c r="Z17" s="261" t="s">
        <v>61</v>
      </c>
      <c r="AA17" s="261" t="s">
        <v>61</v>
      </c>
      <c r="AB17" s="261" t="s">
        <v>61</v>
      </c>
      <c r="AC17" s="261" t="s">
        <v>61</v>
      </c>
      <c r="AD17" s="261" t="s">
        <v>61</v>
      </c>
      <c r="AE17" s="261" t="s">
        <v>61</v>
      </c>
      <c r="AF17" s="261" t="s">
        <v>61</v>
      </c>
      <c r="AG17" s="261" t="s">
        <v>61</v>
      </c>
      <c r="AH17" s="261" t="s">
        <v>61</v>
      </c>
      <c r="AI17" s="261" t="s">
        <v>61</v>
      </c>
      <c r="AJ17" s="261" t="s">
        <v>61</v>
      </c>
      <c r="AK17" s="244">
        <f t="shared" si="1"/>
        <v>0</v>
      </c>
      <c r="AL17" s="244">
        <f t="shared" si="2"/>
        <v>0</v>
      </c>
      <c r="AM17" s="244">
        <f t="shared" si="3"/>
        <v>0</v>
      </c>
      <c r="AN17" s="244">
        <f t="shared" si="4"/>
        <v>0</v>
      </c>
      <c r="AO17" s="244">
        <f t="shared" si="5"/>
        <v>0</v>
      </c>
      <c r="AP17" s="244">
        <f t="shared" si="6"/>
        <v>0</v>
      </c>
      <c r="AQ17" s="244">
        <f t="shared" si="7"/>
        <v>0</v>
      </c>
      <c r="AR17" s="244">
        <f t="shared" si="8"/>
        <v>0</v>
      </c>
      <c r="AS17" s="244">
        <f t="shared" si="9"/>
        <v>0</v>
      </c>
      <c r="AT17" s="244">
        <f t="shared" si="10"/>
        <v>0</v>
      </c>
      <c r="AU17" s="244">
        <f t="shared" si="11"/>
        <v>0</v>
      </c>
      <c r="AV17" s="244">
        <f t="shared" si="12"/>
        <v>0</v>
      </c>
      <c r="AW17" s="244">
        <f t="shared" si="13"/>
        <v>0</v>
      </c>
      <c r="AX17" s="244">
        <f t="shared" si="14"/>
        <v>0</v>
      </c>
      <c r="AY17" s="244">
        <f t="shared" si="15"/>
        <v>0</v>
      </c>
      <c r="AZ17" s="244">
        <f t="shared" si="16"/>
        <v>0</v>
      </c>
      <c r="BA17" s="244">
        <f t="shared" si="17"/>
        <v>0</v>
      </c>
      <c r="BB17" s="244">
        <f t="shared" si="18"/>
        <v>0</v>
      </c>
    </row>
    <row r="18" spans="1:54" x14ac:dyDescent="0.2">
      <c r="A18" s="143">
        <v>15</v>
      </c>
      <c r="B18" s="143">
        <v>107</v>
      </c>
      <c r="C18" s="184" t="s">
        <v>152</v>
      </c>
      <c r="D18" s="144" t="s">
        <v>184</v>
      </c>
      <c r="E18" s="144" t="s">
        <v>248</v>
      </c>
      <c r="F18" s="144" t="s">
        <v>280</v>
      </c>
      <c r="G18" s="144" t="s">
        <v>298</v>
      </c>
      <c r="H18" s="144" t="s">
        <v>330</v>
      </c>
      <c r="I18" s="145">
        <v>46.21</v>
      </c>
      <c r="J18" s="147" t="s">
        <v>98</v>
      </c>
      <c r="K18" s="147" t="s">
        <v>98</v>
      </c>
      <c r="L18" s="147" t="s">
        <v>98</v>
      </c>
      <c r="M18" s="147" t="s">
        <v>98</v>
      </c>
      <c r="N18" s="147" t="s">
        <v>98</v>
      </c>
      <c r="O18" s="147" t="s">
        <v>98</v>
      </c>
      <c r="P18" s="147" t="s">
        <v>98</v>
      </c>
      <c r="Q18" s="147" t="s">
        <v>98</v>
      </c>
      <c r="R18" s="146" t="s">
        <v>126</v>
      </c>
      <c r="S18" s="261" t="s">
        <v>61</v>
      </c>
      <c r="T18" s="261" t="s">
        <v>61</v>
      </c>
      <c r="U18" s="261" t="s">
        <v>61</v>
      </c>
      <c r="V18" s="261" t="s">
        <v>61</v>
      </c>
      <c r="W18" s="261" t="s">
        <v>61</v>
      </c>
      <c r="X18" s="261" t="s">
        <v>61</v>
      </c>
      <c r="Y18" s="261" t="s">
        <v>61</v>
      </c>
      <c r="Z18" s="261" t="s">
        <v>61</v>
      </c>
      <c r="AA18" s="261" t="s">
        <v>61</v>
      </c>
      <c r="AB18" s="261" t="s">
        <v>61</v>
      </c>
      <c r="AC18" s="261" t="s">
        <v>61</v>
      </c>
      <c r="AD18" s="261" t="s">
        <v>61</v>
      </c>
      <c r="AE18" s="261" t="s">
        <v>61</v>
      </c>
      <c r="AF18" s="261" t="s">
        <v>61</v>
      </c>
      <c r="AG18" s="261" t="s">
        <v>61</v>
      </c>
      <c r="AH18" s="261" t="s">
        <v>61</v>
      </c>
      <c r="AI18" s="261" t="s">
        <v>61</v>
      </c>
      <c r="AJ18" s="261" t="s">
        <v>61</v>
      </c>
      <c r="AK18" s="244">
        <f t="shared" si="1"/>
        <v>0</v>
      </c>
      <c r="AL18" s="244">
        <f t="shared" si="2"/>
        <v>0</v>
      </c>
      <c r="AM18" s="244">
        <f t="shared" si="3"/>
        <v>0</v>
      </c>
      <c r="AN18" s="244">
        <f t="shared" si="4"/>
        <v>0</v>
      </c>
      <c r="AO18" s="244">
        <f t="shared" si="5"/>
        <v>0</v>
      </c>
      <c r="AP18" s="244">
        <f t="shared" si="6"/>
        <v>0</v>
      </c>
      <c r="AQ18" s="244">
        <f t="shared" si="7"/>
        <v>0</v>
      </c>
      <c r="AR18" s="244">
        <f t="shared" si="8"/>
        <v>0</v>
      </c>
      <c r="AS18" s="244">
        <f t="shared" si="9"/>
        <v>0</v>
      </c>
      <c r="AT18" s="244">
        <f t="shared" si="10"/>
        <v>0</v>
      </c>
      <c r="AU18" s="244">
        <f t="shared" si="11"/>
        <v>0</v>
      </c>
      <c r="AV18" s="244">
        <f t="shared" si="12"/>
        <v>0</v>
      </c>
      <c r="AW18" s="244">
        <f t="shared" si="13"/>
        <v>0</v>
      </c>
      <c r="AX18" s="244">
        <f t="shared" si="14"/>
        <v>0</v>
      </c>
      <c r="AY18" s="244">
        <f t="shared" si="15"/>
        <v>0</v>
      </c>
      <c r="AZ18" s="244">
        <f t="shared" si="16"/>
        <v>0</v>
      </c>
      <c r="BA18" s="244">
        <f t="shared" si="17"/>
        <v>0</v>
      </c>
      <c r="BB18" s="244">
        <f t="shared" si="18"/>
        <v>0</v>
      </c>
    </row>
    <row r="19" spans="1:54" x14ac:dyDescent="0.2">
      <c r="A19" s="143">
        <v>16</v>
      </c>
      <c r="B19" s="143">
        <v>149</v>
      </c>
      <c r="C19" s="184" t="s">
        <v>153</v>
      </c>
      <c r="D19" s="144" t="s">
        <v>166</v>
      </c>
      <c r="E19" s="144" t="s">
        <v>219</v>
      </c>
      <c r="F19" s="144" t="s">
        <v>86</v>
      </c>
      <c r="G19" s="144" t="s">
        <v>300</v>
      </c>
      <c r="H19" s="144" t="s">
        <v>331</v>
      </c>
      <c r="I19" s="145">
        <v>140</v>
      </c>
      <c r="J19" s="147" t="s">
        <v>98</v>
      </c>
      <c r="K19" s="147" t="s">
        <v>98</v>
      </c>
      <c r="L19" s="147" t="s">
        <v>98</v>
      </c>
      <c r="M19" s="147" t="s">
        <v>98</v>
      </c>
      <c r="N19" s="147" t="s">
        <v>98</v>
      </c>
      <c r="O19" s="147" t="s">
        <v>98</v>
      </c>
      <c r="P19" s="147" t="s">
        <v>98</v>
      </c>
      <c r="Q19" s="147" t="s">
        <v>98</v>
      </c>
      <c r="R19" s="146" t="s">
        <v>126</v>
      </c>
      <c r="S19" s="261" t="s">
        <v>61</v>
      </c>
      <c r="T19" s="261" t="s">
        <v>61</v>
      </c>
      <c r="U19" s="261" t="s">
        <v>61</v>
      </c>
      <c r="V19" s="261" t="s">
        <v>61</v>
      </c>
      <c r="W19" s="261" t="s">
        <v>61</v>
      </c>
      <c r="X19" s="261" t="s">
        <v>61</v>
      </c>
      <c r="Y19" s="261" t="s">
        <v>61</v>
      </c>
      <c r="Z19" s="261" t="s">
        <v>61</v>
      </c>
      <c r="AA19" s="261" t="s">
        <v>61</v>
      </c>
      <c r="AB19" s="261" t="s">
        <v>61</v>
      </c>
      <c r="AC19" s="261" t="s">
        <v>61</v>
      </c>
      <c r="AD19" s="261" t="s">
        <v>61</v>
      </c>
      <c r="AE19" s="261" t="s">
        <v>61</v>
      </c>
      <c r="AF19" s="261" t="s">
        <v>61</v>
      </c>
      <c r="AG19" s="261" t="s">
        <v>61</v>
      </c>
      <c r="AH19" s="261" t="s">
        <v>61</v>
      </c>
      <c r="AI19" s="261" t="s">
        <v>61</v>
      </c>
      <c r="AJ19" s="261" t="s">
        <v>61</v>
      </c>
      <c r="AK19" s="244">
        <f t="shared" si="1"/>
        <v>0</v>
      </c>
      <c r="AL19" s="244">
        <f t="shared" si="2"/>
        <v>0</v>
      </c>
      <c r="AM19" s="244">
        <f t="shared" si="3"/>
        <v>0</v>
      </c>
      <c r="AN19" s="244">
        <f t="shared" si="4"/>
        <v>0</v>
      </c>
      <c r="AO19" s="244">
        <f t="shared" si="5"/>
        <v>0</v>
      </c>
      <c r="AP19" s="244">
        <f t="shared" si="6"/>
        <v>0</v>
      </c>
      <c r="AQ19" s="244">
        <f t="shared" si="7"/>
        <v>0</v>
      </c>
      <c r="AR19" s="244">
        <f t="shared" si="8"/>
        <v>0</v>
      </c>
      <c r="AS19" s="244">
        <f t="shared" si="9"/>
        <v>0</v>
      </c>
      <c r="AT19" s="244">
        <f t="shared" si="10"/>
        <v>0</v>
      </c>
      <c r="AU19" s="244">
        <f t="shared" si="11"/>
        <v>0</v>
      </c>
      <c r="AV19" s="244">
        <f t="shared" si="12"/>
        <v>0</v>
      </c>
      <c r="AW19" s="244">
        <f t="shared" si="13"/>
        <v>0</v>
      </c>
      <c r="AX19" s="244">
        <f t="shared" si="14"/>
        <v>0</v>
      </c>
      <c r="AY19" s="244">
        <f t="shared" si="15"/>
        <v>0</v>
      </c>
      <c r="AZ19" s="244">
        <f t="shared" si="16"/>
        <v>0</v>
      </c>
      <c r="BA19" s="244">
        <f t="shared" si="17"/>
        <v>0</v>
      </c>
      <c r="BB19" s="244">
        <f t="shared" si="18"/>
        <v>0</v>
      </c>
    </row>
    <row r="20" spans="1:54" x14ac:dyDescent="0.2">
      <c r="A20" s="143">
        <v>17</v>
      </c>
      <c r="B20" s="143">
        <v>96</v>
      </c>
      <c r="C20" s="184" t="s">
        <v>153</v>
      </c>
      <c r="D20" s="144" t="s">
        <v>185</v>
      </c>
      <c r="E20" s="144" t="s">
        <v>255</v>
      </c>
      <c r="F20" s="144" t="s">
        <v>86</v>
      </c>
      <c r="G20" s="144" t="s">
        <v>300</v>
      </c>
      <c r="H20" s="144" t="s">
        <v>331</v>
      </c>
      <c r="I20" s="145">
        <v>259</v>
      </c>
      <c r="J20" s="147" t="s">
        <v>98</v>
      </c>
      <c r="K20" s="147" t="s">
        <v>98</v>
      </c>
      <c r="L20" s="147" t="s">
        <v>98</v>
      </c>
      <c r="M20" s="147" t="s">
        <v>98</v>
      </c>
      <c r="N20" s="147" t="s">
        <v>98</v>
      </c>
      <c r="O20" s="147" t="s">
        <v>98</v>
      </c>
      <c r="P20" s="147" t="s">
        <v>98</v>
      </c>
      <c r="Q20" s="147" t="s">
        <v>98</v>
      </c>
      <c r="R20" s="146" t="s">
        <v>126</v>
      </c>
      <c r="S20" s="261" t="s">
        <v>61</v>
      </c>
      <c r="T20" s="261" t="s">
        <v>61</v>
      </c>
      <c r="U20" s="261" t="s">
        <v>61</v>
      </c>
      <c r="V20" s="261" t="s">
        <v>61</v>
      </c>
      <c r="W20" s="261" t="s">
        <v>61</v>
      </c>
      <c r="X20" s="261" t="s">
        <v>61</v>
      </c>
      <c r="Y20" s="261" t="s">
        <v>61</v>
      </c>
      <c r="Z20" s="261" t="s">
        <v>61</v>
      </c>
      <c r="AA20" s="261" t="s">
        <v>61</v>
      </c>
      <c r="AB20" s="261" t="s">
        <v>61</v>
      </c>
      <c r="AC20" s="261" t="s">
        <v>61</v>
      </c>
      <c r="AD20" s="261" t="s">
        <v>61</v>
      </c>
      <c r="AE20" s="261" t="s">
        <v>61</v>
      </c>
      <c r="AF20" s="261" t="s">
        <v>61</v>
      </c>
      <c r="AG20" s="261" t="s">
        <v>61</v>
      </c>
      <c r="AH20" s="261" t="s">
        <v>61</v>
      </c>
      <c r="AI20" s="261" t="s">
        <v>61</v>
      </c>
      <c r="AJ20" s="261" t="s">
        <v>61</v>
      </c>
      <c r="AK20" s="244">
        <f t="shared" si="1"/>
        <v>0</v>
      </c>
      <c r="AL20" s="244">
        <f t="shared" si="2"/>
        <v>0</v>
      </c>
      <c r="AM20" s="244">
        <f t="shared" si="3"/>
        <v>0</v>
      </c>
      <c r="AN20" s="244">
        <f t="shared" si="4"/>
        <v>0</v>
      </c>
      <c r="AO20" s="244">
        <f t="shared" si="5"/>
        <v>0</v>
      </c>
      <c r="AP20" s="244">
        <f t="shared" si="6"/>
        <v>0</v>
      </c>
      <c r="AQ20" s="244">
        <f t="shared" si="7"/>
        <v>0</v>
      </c>
      <c r="AR20" s="244">
        <f t="shared" si="8"/>
        <v>0</v>
      </c>
      <c r="AS20" s="244">
        <f t="shared" si="9"/>
        <v>0</v>
      </c>
      <c r="AT20" s="244">
        <f t="shared" si="10"/>
        <v>0</v>
      </c>
      <c r="AU20" s="244">
        <f t="shared" si="11"/>
        <v>0</v>
      </c>
      <c r="AV20" s="244">
        <f t="shared" si="12"/>
        <v>0</v>
      </c>
      <c r="AW20" s="244">
        <f t="shared" si="13"/>
        <v>0</v>
      </c>
      <c r="AX20" s="244">
        <f t="shared" si="14"/>
        <v>0</v>
      </c>
      <c r="AY20" s="244">
        <f t="shared" si="15"/>
        <v>0</v>
      </c>
      <c r="AZ20" s="244">
        <f t="shared" si="16"/>
        <v>0</v>
      </c>
      <c r="BA20" s="244">
        <f t="shared" si="17"/>
        <v>0</v>
      </c>
      <c r="BB20" s="244">
        <f t="shared" si="18"/>
        <v>0</v>
      </c>
    </row>
    <row r="21" spans="1:54" x14ac:dyDescent="0.2">
      <c r="A21" s="143">
        <v>18</v>
      </c>
      <c r="B21" s="143">
        <v>602</v>
      </c>
      <c r="C21" s="184" t="s">
        <v>153</v>
      </c>
      <c r="D21" s="144" t="s">
        <v>167</v>
      </c>
      <c r="E21" s="144" t="s">
        <v>254</v>
      </c>
      <c r="F21" s="144" t="s">
        <v>60</v>
      </c>
      <c r="G21" s="144" t="s">
        <v>291</v>
      </c>
      <c r="H21" s="144" t="s">
        <v>330</v>
      </c>
      <c r="I21" s="145">
        <v>10</v>
      </c>
      <c r="J21" s="147" t="s">
        <v>98</v>
      </c>
      <c r="K21" s="147" t="s">
        <v>98</v>
      </c>
      <c r="L21" s="147" t="s">
        <v>98</v>
      </c>
      <c r="M21" s="147" t="s">
        <v>98</v>
      </c>
      <c r="N21" s="147" t="s">
        <v>98</v>
      </c>
      <c r="O21" s="147" t="s">
        <v>98</v>
      </c>
      <c r="P21" s="147" t="s">
        <v>98</v>
      </c>
      <c r="Q21" s="147" t="s">
        <v>98</v>
      </c>
      <c r="R21" s="146" t="s">
        <v>126</v>
      </c>
      <c r="S21" s="261" t="s">
        <v>61</v>
      </c>
      <c r="T21" s="261" t="s">
        <v>61</v>
      </c>
      <c r="U21" s="261" t="s">
        <v>61</v>
      </c>
      <c r="V21" s="261" t="s">
        <v>61</v>
      </c>
      <c r="W21" s="261" t="s">
        <v>61</v>
      </c>
      <c r="X21" s="261" t="s">
        <v>61</v>
      </c>
      <c r="Y21" s="261" t="s">
        <v>61</v>
      </c>
      <c r="Z21" s="261" t="s">
        <v>61</v>
      </c>
      <c r="AA21" s="261" t="s">
        <v>61</v>
      </c>
      <c r="AB21" s="261" t="s">
        <v>61</v>
      </c>
      <c r="AC21" s="261" t="s">
        <v>61</v>
      </c>
      <c r="AD21" s="261" t="s">
        <v>61</v>
      </c>
      <c r="AE21" s="261" t="s">
        <v>61</v>
      </c>
      <c r="AF21" s="261" t="s">
        <v>61</v>
      </c>
      <c r="AG21" s="261" t="s">
        <v>61</v>
      </c>
      <c r="AH21" s="261" t="s">
        <v>61</v>
      </c>
      <c r="AI21" s="261" t="s">
        <v>61</v>
      </c>
      <c r="AJ21" s="261" t="s">
        <v>61</v>
      </c>
      <c r="AK21" s="244">
        <f t="shared" si="1"/>
        <v>0</v>
      </c>
      <c r="AL21" s="244">
        <f t="shared" si="2"/>
        <v>0</v>
      </c>
      <c r="AM21" s="244">
        <f t="shared" si="3"/>
        <v>0</v>
      </c>
      <c r="AN21" s="244">
        <f t="shared" si="4"/>
        <v>0</v>
      </c>
      <c r="AO21" s="244">
        <f t="shared" si="5"/>
        <v>0</v>
      </c>
      <c r="AP21" s="244">
        <f t="shared" si="6"/>
        <v>0</v>
      </c>
      <c r="AQ21" s="244">
        <f t="shared" si="7"/>
        <v>0</v>
      </c>
      <c r="AR21" s="244">
        <f t="shared" si="8"/>
        <v>0</v>
      </c>
      <c r="AS21" s="244">
        <f t="shared" si="9"/>
        <v>0</v>
      </c>
      <c r="AT21" s="244">
        <f t="shared" si="10"/>
        <v>0</v>
      </c>
      <c r="AU21" s="244">
        <f t="shared" si="11"/>
        <v>0</v>
      </c>
      <c r="AV21" s="244">
        <f t="shared" si="12"/>
        <v>0</v>
      </c>
      <c r="AW21" s="244">
        <f t="shared" si="13"/>
        <v>0</v>
      </c>
      <c r="AX21" s="244">
        <f t="shared" si="14"/>
        <v>0</v>
      </c>
      <c r="AY21" s="244">
        <f t="shared" si="15"/>
        <v>0</v>
      </c>
      <c r="AZ21" s="244">
        <f t="shared" si="16"/>
        <v>0</v>
      </c>
      <c r="BA21" s="244">
        <f t="shared" si="17"/>
        <v>0</v>
      </c>
      <c r="BB21" s="244">
        <f t="shared" si="18"/>
        <v>0</v>
      </c>
    </row>
    <row r="22" spans="1:54" x14ac:dyDescent="0.2">
      <c r="A22" s="143">
        <v>19</v>
      </c>
      <c r="B22" s="143">
        <v>114</v>
      </c>
      <c r="C22" s="184" t="s">
        <v>153</v>
      </c>
      <c r="D22" s="144" t="s">
        <v>168</v>
      </c>
      <c r="E22" s="144" t="s">
        <v>215</v>
      </c>
      <c r="F22" s="144" t="s">
        <v>60</v>
      </c>
      <c r="G22" s="144" t="s">
        <v>289</v>
      </c>
      <c r="H22" s="144" t="s">
        <v>330</v>
      </c>
      <c r="I22" s="145">
        <v>110.4</v>
      </c>
      <c r="J22" s="147" t="s">
        <v>98</v>
      </c>
      <c r="K22" s="147" t="s">
        <v>98</v>
      </c>
      <c r="L22" s="147" t="s">
        <v>98</v>
      </c>
      <c r="M22" s="147" t="s">
        <v>98</v>
      </c>
      <c r="N22" s="147" t="s">
        <v>98</v>
      </c>
      <c r="O22" s="147" t="s">
        <v>98</v>
      </c>
      <c r="P22" s="147" t="s">
        <v>98</v>
      </c>
      <c r="Q22" s="147" t="s">
        <v>98</v>
      </c>
      <c r="R22" s="146" t="s">
        <v>126</v>
      </c>
      <c r="S22" s="261" t="s">
        <v>61</v>
      </c>
      <c r="T22" s="261" t="s">
        <v>61</v>
      </c>
      <c r="U22" s="261" t="s">
        <v>61</v>
      </c>
      <c r="V22" s="261" t="s">
        <v>61</v>
      </c>
      <c r="W22" s="261" t="s">
        <v>61</v>
      </c>
      <c r="X22" s="261" t="s">
        <v>61</v>
      </c>
      <c r="Y22" s="261" t="s">
        <v>61</v>
      </c>
      <c r="Z22" s="261" t="s">
        <v>61</v>
      </c>
      <c r="AA22" s="261" t="s">
        <v>61</v>
      </c>
      <c r="AB22" s="261" t="s">
        <v>61</v>
      </c>
      <c r="AC22" s="261" t="s">
        <v>61</v>
      </c>
      <c r="AD22" s="261" t="s">
        <v>61</v>
      </c>
      <c r="AE22" s="261" t="s">
        <v>61</v>
      </c>
      <c r="AF22" s="261" t="s">
        <v>61</v>
      </c>
      <c r="AG22" s="261" t="s">
        <v>61</v>
      </c>
      <c r="AH22" s="261" t="s">
        <v>61</v>
      </c>
      <c r="AI22" s="261" t="s">
        <v>61</v>
      </c>
      <c r="AJ22" s="261" t="s">
        <v>61</v>
      </c>
      <c r="AK22" s="244">
        <f t="shared" si="1"/>
        <v>0</v>
      </c>
      <c r="AL22" s="244">
        <f t="shared" si="2"/>
        <v>0</v>
      </c>
      <c r="AM22" s="244">
        <f t="shared" si="3"/>
        <v>0</v>
      </c>
      <c r="AN22" s="244">
        <f t="shared" si="4"/>
        <v>0</v>
      </c>
      <c r="AO22" s="244">
        <f t="shared" si="5"/>
        <v>0</v>
      </c>
      <c r="AP22" s="244">
        <f t="shared" si="6"/>
        <v>0</v>
      </c>
      <c r="AQ22" s="244">
        <f t="shared" si="7"/>
        <v>0</v>
      </c>
      <c r="AR22" s="244">
        <f t="shared" si="8"/>
        <v>0</v>
      </c>
      <c r="AS22" s="244">
        <f t="shared" si="9"/>
        <v>0</v>
      </c>
      <c r="AT22" s="244">
        <f t="shared" si="10"/>
        <v>0</v>
      </c>
      <c r="AU22" s="244">
        <f t="shared" si="11"/>
        <v>0</v>
      </c>
      <c r="AV22" s="244">
        <f t="shared" si="12"/>
        <v>0</v>
      </c>
      <c r="AW22" s="244">
        <f t="shared" si="13"/>
        <v>0</v>
      </c>
      <c r="AX22" s="244">
        <f t="shared" si="14"/>
        <v>0</v>
      </c>
      <c r="AY22" s="244">
        <f t="shared" si="15"/>
        <v>0</v>
      </c>
      <c r="AZ22" s="244">
        <f t="shared" si="16"/>
        <v>0</v>
      </c>
      <c r="BA22" s="244">
        <f t="shared" si="17"/>
        <v>0</v>
      </c>
      <c r="BB22" s="244">
        <f t="shared" si="18"/>
        <v>0</v>
      </c>
    </row>
    <row r="23" spans="1:54" x14ac:dyDescent="0.2">
      <c r="A23" s="143">
        <v>20</v>
      </c>
      <c r="B23" s="143">
        <v>493</v>
      </c>
      <c r="C23" s="184" t="s">
        <v>153</v>
      </c>
      <c r="D23" s="144" t="s">
        <v>169</v>
      </c>
      <c r="E23" s="144" t="s">
        <v>241</v>
      </c>
      <c r="F23" s="144" t="s">
        <v>86</v>
      </c>
      <c r="G23" s="144" t="s">
        <v>303</v>
      </c>
      <c r="H23" s="144" t="s">
        <v>330</v>
      </c>
      <c r="I23" s="145">
        <v>99.9</v>
      </c>
      <c r="J23" s="147" t="s">
        <v>98</v>
      </c>
      <c r="K23" s="147" t="s">
        <v>98</v>
      </c>
      <c r="L23" s="147" t="s">
        <v>98</v>
      </c>
      <c r="M23" s="147" t="s">
        <v>98</v>
      </c>
      <c r="N23" s="147" t="s">
        <v>98</v>
      </c>
      <c r="O23" s="147" t="s">
        <v>98</v>
      </c>
      <c r="P23" s="147" t="s">
        <v>98</v>
      </c>
      <c r="Q23" s="147" t="s">
        <v>98</v>
      </c>
      <c r="R23" s="146" t="s">
        <v>126</v>
      </c>
      <c r="S23" s="261" t="s">
        <v>61</v>
      </c>
      <c r="T23" s="261" t="s">
        <v>61</v>
      </c>
      <c r="U23" s="261" t="s">
        <v>61</v>
      </c>
      <c r="V23" s="261" t="s">
        <v>61</v>
      </c>
      <c r="W23" s="261" t="s">
        <v>61</v>
      </c>
      <c r="X23" s="261" t="s">
        <v>61</v>
      </c>
      <c r="Y23" s="261" t="s">
        <v>61</v>
      </c>
      <c r="Z23" s="261" t="s">
        <v>61</v>
      </c>
      <c r="AA23" s="261" t="s">
        <v>61</v>
      </c>
      <c r="AB23" s="261" t="s">
        <v>61</v>
      </c>
      <c r="AC23" s="261" t="s">
        <v>61</v>
      </c>
      <c r="AD23" s="261" t="s">
        <v>61</v>
      </c>
      <c r="AE23" s="261" t="s">
        <v>61</v>
      </c>
      <c r="AF23" s="261" t="s">
        <v>61</v>
      </c>
      <c r="AG23" s="261" t="s">
        <v>61</v>
      </c>
      <c r="AH23" s="261" t="s">
        <v>61</v>
      </c>
      <c r="AI23" s="261" t="s">
        <v>61</v>
      </c>
      <c r="AJ23" s="261" t="s">
        <v>61</v>
      </c>
      <c r="AK23" s="244">
        <f t="shared" si="1"/>
        <v>0</v>
      </c>
      <c r="AL23" s="244">
        <f t="shared" si="2"/>
        <v>0</v>
      </c>
      <c r="AM23" s="244">
        <f t="shared" si="3"/>
        <v>0</v>
      </c>
      <c r="AN23" s="244">
        <f t="shared" si="4"/>
        <v>0</v>
      </c>
      <c r="AO23" s="244">
        <f t="shared" si="5"/>
        <v>0</v>
      </c>
      <c r="AP23" s="244">
        <f t="shared" si="6"/>
        <v>0</v>
      </c>
      <c r="AQ23" s="244">
        <f t="shared" si="7"/>
        <v>0</v>
      </c>
      <c r="AR23" s="244">
        <f t="shared" si="8"/>
        <v>0</v>
      </c>
      <c r="AS23" s="244">
        <f t="shared" si="9"/>
        <v>0</v>
      </c>
      <c r="AT23" s="244">
        <f t="shared" si="10"/>
        <v>0</v>
      </c>
      <c r="AU23" s="244">
        <f t="shared" si="11"/>
        <v>0</v>
      </c>
      <c r="AV23" s="244">
        <f t="shared" si="12"/>
        <v>0</v>
      </c>
      <c r="AW23" s="244">
        <f t="shared" si="13"/>
        <v>0</v>
      </c>
      <c r="AX23" s="244">
        <f t="shared" si="14"/>
        <v>0</v>
      </c>
      <c r="AY23" s="244">
        <f t="shared" si="15"/>
        <v>0</v>
      </c>
      <c r="AZ23" s="244">
        <f t="shared" si="16"/>
        <v>0</v>
      </c>
      <c r="BA23" s="244">
        <f t="shared" si="17"/>
        <v>0</v>
      </c>
      <c r="BB23" s="244">
        <f t="shared" si="18"/>
        <v>0</v>
      </c>
    </row>
    <row r="24" spans="1:54" x14ac:dyDescent="0.2">
      <c r="A24" s="143">
        <v>21</v>
      </c>
      <c r="B24" s="143">
        <v>618</v>
      </c>
      <c r="C24" s="184" t="s">
        <v>153</v>
      </c>
      <c r="D24" s="144" t="s">
        <v>170</v>
      </c>
      <c r="E24" s="144" t="s">
        <v>260</v>
      </c>
      <c r="F24" s="144" t="s">
        <v>60</v>
      </c>
      <c r="G24" s="144" t="s">
        <v>290</v>
      </c>
      <c r="H24" s="144" t="s">
        <v>330</v>
      </c>
      <c r="I24" s="145">
        <v>600</v>
      </c>
      <c r="J24" s="147" t="s">
        <v>98</v>
      </c>
      <c r="K24" s="147" t="s">
        <v>98</v>
      </c>
      <c r="L24" s="147" t="s">
        <v>98</v>
      </c>
      <c r="M24" s="147" t="s">
        <v>98</v>
      </c>
      <c r="N24" s="147" t="s">
        <v>98</v>
      </c>
      <c r="O24" s="147" t="s">
        <v>98</v>
      </c>
      <c r="P24" s="147" t="s">
        <v>98</v>
      </c>
      <c r="Q24" s="147" t="s">
        <v>98</v>
      </c>
      <c r="R24" s="146" t="s">
        <v>126</v>
      </c>
      <c r="S24" s="261" t="s">
        <v>61</v>
      </c>
      <c r="T24" s="261" t="s">
        <v>61</v>
      </c>
      <c r="U24" s="261" t="s">
        <v>61</v>
      </c>
      <c r="V24" s="261" t="s">
        <v>61</v>
      </c>
      <c r="W24" s="261" t="s">
        <v>61</v>
      </c>
      <c r="X24" s="261" t="s">
        <v>61</v>
      </c>
      <c r="Y24" s="261" t="s">
        <v>61</v>
      </c>
      <c r="Z24" s="261" t="s">
        <v>61</v>
      </c>
      <c r="AA24" s="261" t="s">
        <v>61</v>
      </c>
      <c r="AB24" s="261" t="s">
        <v>61</v>
      </c>
      <c r="AC24" s="261" t="s">
        <v>61</v>
      </c>
      <c r="AD24" s="261" t="s">
        <v>61</v>
      </c>
      <c r="AE24" s="261" t="s">
        <v>61</v>
      </c>
      <c r="AF24" s="261" t="s">
        <v>61</v>
      </c>
      <c r="AG24" s="261" t="s">
        <v>61</v>
      </c>
      <c r="AH24" s="261" t="s">
        <v>61</v>
      </c>
      <c r="AI24" s="261" t="s">
        <v>61</v>
      </c>
      <c r="AJ24" s="261" t="s">
        <v>61</v>
      </c>
      <c r="AK24" s="244">
        <f t="shared" si="1"/>
        <v>0</v>
      </c>
      <c r="AL24" s="244">
        <f t="shared" si="2"/>
        <v>0</v>
      </c>
      <c r="AM24" s="244">
        <f t="shared" si="3"/>
        <v>0</v>
      </c>
      <c r="AN24" s="244">
        <f t="shared" si="4"/>
        <v>0</v>
      </c>
      <c r="AO24" s="244">
        <f t="shared" si="5"/>
        <v>0</v>
      </c>
      <c r="AP24" s="244">
        <f t="shared" si="6"/>
        <v>0</v>
      </c>
      <c r="AQ24" s="244">
        <f t="shared" si="7"/>
        <v>0</v>
      </c>
      <c r="AR24" s="244">
        <f t="shared" si="8"/>
        <v>0</v>
      </c>
      <c r="AS24" s="244">
        <f t="shared" si="9"/>
        <v>0</v>
      </c>
      <c r="AT24" s="244">
        <f t="shared" si="10"/>
        <v>0</v>
      </c>
      <c r="AU24" s="244">
        <f t="shared" si="11"/>
        <v>0</v>
      </c>
      <c r="AV24" s="244">
        <f t="shared" si="12"/>
        <v>0</v>
      </c>
      <c r="AW24" s="244">
        <f t="shared" si="13"/>
        <v>0</v>
      </c>
      <c r="AX24" s="244">
        <f t="shared" si="14"/>
        <v>0</v>
      </c>
      <c r="AY24" s="244">
        <f t="shared" si="15"/>
        <v>0</v>
      </c>
      <c r="AZ24" s="244">
        <f t="shared" si="16"/>
        <v>0</v>
      </c>
      <c r="BA24" s="244">
        <f t="shared" si="17"/>
        <v>0</v>
      </c>
      <c r="BB24" s="244">
        <f t="shared" si="18"/>
        <v>0</v>
      </c>
    </row>
    <row r="25" spans="1:54" x14ac:dyDescent="0.2">
      <c r="A25" s="143">
        <v>22</v>
      </c>
      <c r="B25" s="143">
        <v>172</v>
      </c>
      <c r="C25" s="184" t="s">
        <v>153</v>
      </c>
      <c r="D25" s="144" t="s">
        <v>171</v>
      </c>
      <c r="E25" s="144" t="s">
        <v>223</v>
      </c>
      <c r="F25" s="144" t="s">
        <v>56</v>
      </c>
      <c r="G25" s="144" t="s">
        <v>63</v>
      </c>
      <c r="H25" s="144" t="s">
        <v>331</v>
      </c>
      <c r="I25" s="145">
        <v>117</v>
      </c>
      <c r="J25" s="147" t="s">
        <v>98</v>
      </c>
      <c r="K25" s="147" t="s">
        <v>98</v>
      </c>
      <c r="L25" s="147" t="s">
        <v>98</v>
      </c>
      <c r="M25" s="147" t="s">
        <v>98</v>
      </c>
      <c r="N25" s="147" t="s">
        <v>98</v>
      </c>
      <c r="O25" s="147" t="s">
        <v>98</v>
      </c>
      <c r="P25" s="147" t="s">
        <v>98</v>
      </c>
      <c r="Q25" s="147" t="s">
        <v>98</v>
      </c>
      <c r="R25" s="146" t="s">
        <v>126</v>
      </c>
      <c r="S25" s="261" t="s">
        <v>61</v>
      </c>
      <c r="T25" s="261" t="s">
        <v>61</v>
      </c>
      <c r="U25" s="261" t="s">
        <v>61</v>
      </c>
      <c r="V25" s="261" t="s">
        <v>61</v>
      </c>
      <c r="W25" s="261" t="s">
        <v>61</v>
      </c>
      <c r="X25" s="261" t="s">
        <v>61</v>
      </c>
      <c r="Y25" s="261" t="s">
        <v>61</v>
      </c>
      <c r="Z25" s="261" t="s">
        <v>61</v>
      </c>
      <c r="AA25" s="261" t="s">
        <v>61</v>
      </c>
      <c r="AB25" s="261" t="s">
        <v>61</v>
      </c>
      <c r="AC25" s="261" t="s">
        <v>61</v>
      </c>
      <c r="AD25" s="261" t="s">
        <v>61</v>
      </c>
      <c r="AE25" s="261" t="s">
        <v>61</v>
      </c>
      <c r="AF25" s="261" t="s">
        <v>61</v>
      </c>
      <c r="AG25" s="261" t="s">
        <v>61</v>
      </c>
      <c r="AH25" s="261" t="s">
        <v>61</v>
      </c>
      <c r="AI25" s="261" t="s">
        <v>61</v>
      </c>
      <c r="AJ25" s="261" t="s">
        <v>61</v>
      </c>
      <c r="AK25" s="244">
        <f t="shared" si="1"/>
        <v>0</v>
      </c>
      <c r="AL25" s="244">
        <f t="shared" si="2"/>
        <v>0</v>
      </c>
      <c r="AM25" s="244">
        <f t="shared" si="3"/>
        <v>0</v>
      </c>
      <c r="AN25" s="244">
        <f t="shared" si="4"/>
        <v>0</v>
      </c>
      <c r="AO25" s="244">
        <f t="shared" si="5"/>
        <v>0</v>
      </c>
      <c r="AP25" s="244">
        <f t="shared" si="6"/>
        <v>0</v>
      </c>
      <c r="AQ25" s="244">
        <f t="shared" si="7"/>
        <v>0</v>
      </c>
      <c r="AR25" s="244">
        <f t="shared" si="8"/>
        <v>0</v>
      </c>
      <c r="AS25" s="244">
        <f t="shared" si="9"/>
        <v>0</v>
      </c>
      <c r="AT25" s="244">
        <f t="shared" si="10"/>
        <v>0</v>
      </c>
      <c r="AU25" s="244">
        <f t="shared" si="11"/>
        <v>0</v>
      </c>
      <c r="AV25" s="244">
        <f t="shared" si="12"/>
        <v>0</v>
      </c>
      <c r="AW25" s="244">
        <f t="shared" si="13"/>
        <v>0</v>
      </c>
      <c r="AX25" s="244">
        <f t="shared" si="14"/>
        <v>0</v>
      </c>
      <c r="AY25" s="244">
        <f t="shared" si="15"/>
        <v>0</v>
      </c>
      <c r="AZ25" s="244">
        <f t="shared" si="16"/>
        <v>0</v>
      </c>
      <c r="BA25" s="244">
        <f t="shared" si="17"/>
        <v>0</v>
      </c>
      <c r="BB25" s="244">
        <f t="shared" si="18"/>
        <v>0</v>
      </c>
    </row>
    <row r="26" spans="1:54" x14ac:dyDescent="0.2">
      <c r="A26" s="143">
        <v>23</v>
      </c>
      <c r="B26" s="143">
        <v>171</v>
      </c>
      <c r="C26" s="184" t="s">
        <v>153</v>
      </c>
      <c r="D26" s="144" t="s">
        <v>172</v>
      </c>
      <c r="E26" s="144" t="s">
        <v>253</v>
      </c>
      <c r="F26" s="144" t="s">
        <v>60</v>
      </c>
      <c r="G26" s="144" t="s">
        <v>290</v>
      </c>
      <c r="H26" s="144" t="s">
        <v>330</v>
      </c>
      <c r="I26" s="145">
        <v>100</v>
      </c>
      <c r="J26" s="147" t="s">
        <v>98</v>
      </c>
      <c r="K26" s="147" t="s">
        <v>98</v>
      </c>
      <c r="L26" s="147" t="s">
        <v>98</v>
      </c>
      <c r="M26" s="147" t="s">
        <v>98</v>
      </c>
      <c r="N26" s="147" t="s">
        <v>98</v>
      </c>
      <c r="O26" s="147" t="s">
        <v>98</v>
      </c>
      <c r="P26" s="147" t="s">
        <v>98</v>
      </c>
      <c r="Q26" s="147" t="s">
        <v>98</v>
      </c>
      <c r="R26" s="146" t="s">
        <v>126</v>
      </c>
      <c r="S26" s="261" t="s">
        <v>61</v>
      </c>
      <c r="T26" s="261" t="s">
        <v>61</v>
      </c>
      <c r="U26" s="261" t="s">
        <v>61</v>
      </c>
      <c r="V26" s="261" t="s">
        <v>61</v>
      </c>
      <c r="W26" s="261" t="s">
        <v>61</v>
      </c>
      <c r="X26" s="261" t="s">
        <v>61</v>
      </c>
      <c r="Y26" s="261" t="s">
        <v>61</v>
      </c>
      <c r="Z26" s="261" t="s">
        <v>61</v>
      </c>
      <c r="AA26" s="261" t="s">
        <v>61</v>
      </c>
      <c r="AB26" s="261" t="s">
        <v>61</v>
      </c>
      <c r="AC26" s="261" t="s">
        <v>61</v>
      </c>
      <c r="AD26" s="261" t="s">
        <v>61</v>
      </c>
      <c r="AE26" s="261" t="s">
        <v>61</v>
      </c>
      <c r="AF26" s="261" t="s">
        <v>61</v>
      </c>
      <c r="AG26" s="261" t="s">
        <v>61</v>
      </c>
      <c r="AH26" s="261" t="s">
        <v>61</v>
      </c>
      <c r="AI26" s="261" t="s">
        <v>61</v>
      </c>
      <c r="AJ26" s="261" t="s">
        <v>61</v>
      </c>
      <c r="AK26" s="244">
        <f t="shared" si="1"/>
        <v>0</v>
      </c>
      <c r="AL26" s="244">
        <f t="shared" si="2"/>
        <v>0</v>
      </c>
      <c r="AM26" s="244">
        <f t="shared" si="3"/>
        <v>0</v>
      </c>
      <c r="AN26" s="244">
        <f t="shared" si="4"/>
        <v>0</v>
      </c>
      <c r="AO26" s="244">
        <f t="shared" si="5"/>
        <v>0</v>
      </c>
      <c r="AP26" s="244">
        <f t="shared" si="6"/>
        <v>0</v>
      </c>
      <c r="AQ26" s="244">
        <f t="shared" si="7"/>
        <v>0</v>
      </c>
      <c r="AR26" s="244">
        <f t="shared" si="8"/>
        <v>0</v>
      </c>
      <c r="AS26" s="244">
        <f t="shared" si="9"/>
        <v>0</v>
      </c>
      <c r="AT26" s="244">
        <f t="shared" si="10"/>
        <v>0</v>
      </c>
      <c r="AU26" s="244">
        <f t="shared" si="11"/>
        <v>0</v>
      </c>
      <c r="AV26" s="244">
        <f t="shared" si="12"/>
        <v>0</v>
      </c>
      <c r="AW26" s="244">
        <f t="shared" si="13"/>
        <v>0</v>
      </c>
      <c r="AX26" s="244">
        <f t="shared" si="14"/>
        <v>0</v>
      </c>
      <c r="AY26" s="244">
        <f t="shared" si="15"/>
        <v>0</v>
      </c>
      <c r="AZ26" s="244">
        <f t="shared" si="16"/>
        <v>0</v>
      </c>
      <c r="BA26" s="244">
        <f t="shared" si="17"/>
        <v>0</v>
      </c>
      <c r="BB26" s="244">
        <f t="shared" si="18"/>
        <v>0</v>
      </c>
    </row>
    <row r="27" spans="1:54" x14ac:dyDescent="0.2">
      <c r="A27" s="143">
        <v>24</v>
      </c>
      <c r="B27" s="143">
        <v>36</v>
      </c>
      <c r="C27" s="184" t="s">
        <v>153</v>
      </c>
      <c r="D27" s="144" t="s">
        <v>186</v>
      </c>
      <c r="E27" s="144" t="s">
        <v>240</v>
      </c>
      <c r="F27" s="144" t="s">
        <v>86</v>
      </c>
      <c r="G27" s="144" t="s">
        <v>302</v>
      </c>
      <c r="H27" s="144" t="s">
        <v>331</v>
      </c>
      <c r="I27" s="145">
        <v>400</v>
      </c>
      <c r="J27" s="147" t="s">
        <v>98</v>
      </c>
      <c r="K27" s="147" t="s">
        <v>98</v>
      </c>
      <c r="L27" s="147" t="s">
        <v>98</v>
      </c>
      <c r="M27" s="147" t="s">
        <v>98</v>
      </c>
      <c r="N27" s="147" t="s">
        <v>98</v>
      </c>
      <c r="O27" s="147" t="s">
        <v>98</v>
      </c>
      <c r="P27" s="147" t="s">
        <v>98</v>
      </c>
      <c r="Q27" s="147" t="s">
        <v>98</v>
      </c>
      <c r="R27" s="146" t="s">
        <v>126</v>
      </c>
      <c r="S27" s="261" t="s">
        <v>61</v>
      </c>
      <c r="T27" s="261" t="s">
        <v>61</v>
      </c>
      <c r="U27" s="261" t="s">
        <v>61</v>
      </c>
      <c r="V27" s="261" t="s">
        <v>61</v>
      </c>
      <c r="W27" s="261" t="s">
        <v>61</v>
      </c>
      <c r="X27" s="261" t="s">
        <v>61</v>
      </c>
      <c r="Y27" s="261" t="s">
        <v>61</v>
      </c>
      <c r="Z27" s="261" t="s">
        <v>61</v>
      </c>
      <c r="AA27" s="261" t="s">
        <v>61</v>
      </c>
      <c r="AB27" s="261" t="s">
        <v>61</v>
      </c>
      <c r="AC27" s="261" t="s">
        <v>61</v>
      </c>
      <c r="AD27" s="261" t="s">
        <v>61</v>
      </c>
      <c r="AE27" s="261" t="s">
        <v>61</v>
      </c>
      <c r="AF27" s="261" t="s">
        <v>61</v>
      </c>
      <c r="AG27" s="261" t="s">
        <v>61</v>
      </c>
      <c r="AH27" s="261" t="s">
        <v>61</v>
      </c>
      <c r="AI27" s="261" t="s">
        <v>61</v>
      </c>
      <c r="AJ27" s="261" t="s">
        <v>61</v>
      </c>
      <c r="AK27" s="244">
        <f t="shared" si="1"/>
        <v>0</v>
      </c>
      <c r="AL27" s="244">
        <f t="shared" si="2"/>
        <v>0</v>
      </c>
      <c r="AM27" s="244">
        <f t="shared" si="3"/>
        <v>0</v>
      </c>
      <c r="AN27" s="244">
        <f t="shared" si="4"/>
        <v>0</v>
      </c>
      <c r="AO27" s="244">
        <f t="shared" si="5"/>
        <v>0</v>
      </c>
      <c r="AP27" s="244">
        <f t="shared" si="6"/>
        <v>0</v>
      </c>
      <c r="AQ27" s="244">
        <f t="shared" si="7"/>
        <v>0</v>
      </c>
      <c r="AR27" s="244">
        <f t="shared" si="8"/>
        <v>0</v>
      </c>
      <c r="AS27" s="244">
        <f t="shared" si="9"/>
        <v>0</v>
      </c>
      <c r="AT27" s="244">
        <f t="shared" si="10"/>
        <v>0</v>
      </c>
      <c r="AU27" s="244">
        <f t="shared" si="11"/>
        <v>0</v>
      </c>
      <c r="AV27" s="244">
        <f t="shared" si="12"/>
        <v>0</v>
      </c>
      <c r="AW27" s="244">
        <f t="shared" si="13"/>
        <v>0</v>
      </c>
      <c r="AX27" s="244">
        <f t="shared" si="14"/>
        <v>0</v>
      </c>
      <c r="AY27" s="244">
        <f t="shared" si="15"/>
        <v>0</v>
      </c>
      <c r="AZ27" s="244">
        <f t="shared" si="16"/>
        <v>0</v>
      </c>
      <c r="BA27" s="244">
        <f t="shared" si="17"/>
        <v>0</v>
      </c>
      <c r="BB27" s="244">
        <f t="shared" si="18"/>
        <v>0</v>
      </c>
    </row>
    <row r="28" spans="1:54" x14ac:dyDescent="0.2">
      <c r="A28" s="143">
        <v>25</v>
      </c>
      <c r="B28" s="143">
        <v>155</v>
      </c>
      <c r="C28" s="184" t="s">
        <v>153</v>
      </c>
      <c r="D28" s="144" t="s">
        <v>156</v>
      </c>
      <c r="E28" s="144" t="s">
        <v>232</v>
      </c>
      <c r="F28" s="144" t="s">
        <v>56</v>
      </c>
      <c r="G28" s="144" t="s">
        <v>310</v>
      </c>
      <c r="H28" s="144" t="s">
        <v>331</v>
      </c>
      <c r="I28" s="145">
        <v>580</v>
      </c>
      <c r="J28" s="147" t="s">
        <v>98</v>
      </c>
      <c r="K28" s="147" t="s">
        <v>98</v>
      </c>
      <c r="L28" s="147" t="s">
        <v>98</v>
      </c>
      <c r="M28" s="147" t="s">
        <v>98</v>
      </c>
      <c r="N28" s="147" t="s">
        <v>98</v>
      </c>
      <c r="O28" s="147" t="s">
        <v>98</v>
      </c>
      <c r="P28" s="147" t="s">
        <v>98</v>
      </c>
      <c r="Q28" s="147" t="s">
        <v>98</v>
      </c>
      <c r="R28" s="146" t="s">
        <v>126</v>
      </c>
      <c r="S28" s="261" t="s">
        <v>61</v>
      </c>
      <c r="T28" s="261" t="s">
        <v>61</v>
      </c>
      <c r="U28" s="261" t="s">
        <v>61</v>
      </c>
      <c r="V28" s="261" t="s">
        <v>61</v>
      </c>
      <c r="W28" s="261" t="s">
        <v>61</v>
      </c>
      <c r="X28" s="261" t="s">
        <v>61</v>
      </c>
      <c r="Y28" s="261" t="s">
        <v>61</v>
      </c>
      <c r="Z28" s="261" t="s">
        <v>61</v>
      </c>
      <c r="AA28" s="261" t="s">
        <v>61</v>
      </c>
      <c r="AB28" s="261" t="s">
        <v>61</v>
      </c>
      <c r="AC28" s="261" t="s">
        <v>61</v>
      </c>
      <c r="AD28" s="261" t="s">
        <v>61</v>
      </c>
      <c r="AE28" s="261" t="s">
        <v>61</v>
      </c>
      <c r="AF28" s="261" t="s">
        <v>61</v>
      </c>
      <c r="AG28" s="261" t="s">
        <v>61</v>
      </c>
      <c r="AH28" s="261" t="s">
        <v>61</v>
      </c>
      <c r="AI28" s="261" t="s">
        <v>61</v>
      </c>
      <c r="AJ28" s="261" t="s">
        <v>61</v>
      </c>
      <c r="AK28" s="244">
        <f t="shared" si="1"/>
        <v>0</v>
      </c>
      <c r="AL28" s="244">
        <f t="shared" si="2"/>
        <v>0</v>
      </c>
      <c r="AM28" s="244">
        <f t="shared" si="3"/>
        <v>0</v>
      </c>
      <c r="AN28" s="244">
        <f t="shared" si="4"/>
        <v>0</v>
      </c>
      <c r="AO28" s="244">
        <f t="shared" si="5"/>
        <v>0</v>
      </c>
      <c r="AP28" s="244">
        <f t="shared" si="6"/>
        <v>0</v>
      </c>
      <c r="AQ28" s="244">
        <f t="shared" si="7"/>
        <v>0</v>
      </c>
      <c r="AR28" s="244">
        <f t="shared" si="8"/>
        <v>0</v>
      </c>
      <c r="AS28" s="244">
        <f t="shared" si="9"/>
        <v>0</v>
      </c>
      <c r="AT28" s="244">
        <f t="shared" si="10"/>
        <v>0</v>
      </c>
      <c r="AU28" s="244">
        <f t="shared" si="11"/>
        <v>0</v>
      </c>
      <c r="AV28" s="244">
        <f t="shared" si="12"/>
        <v>0</v>
      </c>
      <c r="AW28" s="244">
        <f t="shared" si="13"/>
        <v>0</v>
      </c>
      <c r="AX28" s="244">
        <f t="shared" si="14"/>
        <v>0</v>
      </c>
      <c r="AY28" s="244">
        <f t="shared" si="15"/>
        <v>0</v>
      </c>
      <c r="AZ28" s="244">
        <f t="shared" si="16"/>
        <v>0</v>
      </c>
      <c r="BA28" s="244">
        <f t="shared" si="17"/>
        <v>0</v>
      </c>
      <c r="BB28" s="244">
        <f t="shared" si="18"/>
        <v>0</v>
      </c>
    </row>
    <row r="29" spans="1:54" x14ac:dyDescent="0.2">
      <c r="A29" s="143">
        <v>26</v>
      </c>
      <c r="B29" s="143">
        <v>655</v>
      </c>
      <c r="C29" s="184" t="s">
        <v>153</v>
      </c>
      <c r="D29" s="144" t="s">
        <v>201</v>
      </c>
      <c r="E29" s="144" t="s">
        <v>268</v>
      </c>
      <c r="F29" s="144" t="s">
        <v>56</v>
      </c>
      <c r="G29" s="144" t="s">
        <v>55</v>
      </c>
      <c r="H29" s="144" t="s">
        <v>330</v>
      </c>
      <c r="I29" s="145">
        <v>110</v>
      </c>
      <c r="J29" s="147" t="s">
        <v>98</v>
      </c>
      <c r="K29" s="147" t="s">
        <v>98</v>
      </c>
      <c r="L29" s="147" t="s">
        <v>98</v>
      </c>
      <c r="M29" s="147" t="s">
        <v>98</v>
      </c>
      <c r="N29" s="147" t="s">
        <v>98</v>
      </c>
      <c r="O29" s="147" t="s">
        <v>98</v>
      </c>
      <c r="P29" s="147" t="s">
        <v>98</v>
      </c>
      <c r="Q29" s="147" t="s">
        <v>98</v>
      </c>
      <c r="R29" s="146" t="s">
        <v>126</v>
      </c>
      <c r="S29" s="261" t="s">
        <v>61</v>
      </c>
      <c r="T29" s="261" t="s">
        <v>61</v>
      </c>
      <c r="U29" s="261" t="s">
        <v>61</v>
      </c>
      <c r="V29" s="261" t="s">
        <v>61</v>
      </c>
      <c r="W29" s="261" t="s">
        <v>61</v>
      </c>
      <c r="X29" s="261" t="s">
        <v>61</v>
      </c>
      <c r="Y29" s="261" t="s">
        <v>61</v>
      </c>
      <c r="Z29" s="261" t="s">
        <v>61</v>
      </c>
      <c r="AA29" s="261" t="s">
        <v>61</v>
      </c>
      <c r="AB29" s="261" t="s">
        <v>61</v>
      </c>
      <c r="AC29" s="261" t="s">
        <v>61</v>
      </c>
      <c r="AD29" s="261" t="s">
        <v>61</v>
      </c>
      <c r="AE29" s="261" t="s">
        <v>61</v>
      </c>
      <c r="AF29" s="261" t="s">
        <v>61</v>
      </c>
      <c r="AG29" s="261" t="s">
        <v>61</v>
      </c>
      <c r="AH29" s="261" t="s">
        <v>61</v>
      </c>
      <c r="AI29" s="261" t="s">
        <v>61</v>
      </c>
      <c r="AJ29" s="261" t="s">
        <v>61</v>
      </c>
      <c r="AK29" s="244">
        <f t="shared" si="1"/>
        <v>0</v>
      </c>
      <c r="AL29" s="244">
        <f t="shared" si="2"/>
        <v>0</v>
      </c>
      <c r="AM29" s="244">
        <f t="shared" si="3"/>
        <v>0</v>
      </c>
      <c r="AN29" s="244">
        <f t="shared" si="4"/>
        <v>0</v>
      </c>
      <c r="AO29" s="244">
        <f t="shared" si="5"/>
        <v>0</v>
      </c>
      <c r="AP29" s="244">
        <f t="shared" si="6"/>
        <v>0</v>
      </c>
      <c r="AQ29" s="244">
        <f t="shared" si="7"/>
        <v>0</v>
      </c>
      <c r="AR29" s="244">
        <f t="shared" si="8"/>
        <v>0</v>
      </c>
      <c r="AS29" s="244">
        <f t="shared" si="9"/>
        <v>0</v>
      </c>
      <c r="AT29" s="244">
        <f t="shared" si="10"/>
        <v>0</v>
      </c>
      <c r="AU29" s="244">
        <f t="shared" si="11"/>
        <v>0</v>
      </c>
      <c r="AV29" s="244">
        <f t="shared" si="12"/>
        <v>0</v>
      </c>
      <c r="AW29" s="244">
        <f t="shared" si="13"/>
        <v>0</v>
      </c>
      <c r="AX29" s="244">
        <f t="shared" si="14"/>
        <v>0</v>
      </c>
      <c r="AY29" s="244">
        <f t="shared" si="15"/>
        <v>0</v>
      </c>
      <c r="AZ29" s="244">
        <f t="shared" si="16"/>
        <v>0</v>
      </c>
      <c r="BA29" s="244">
        <f t="shared" si="17"/>
        <v>0</v>
      </c>
      <c r="BB29" s="244">
        <f t="shared" si="18"/>
        <v>0</v>
      </c>
    </row>
    <row r="30" spans="1:54" x14ac:dyDescent="0.2">
      <c r="A30" s="143">
        <v>27</v>
      </c>
      <c r="B30" s="143">
        <v>170</v>
      </c>
      <c r="C30" s="184" t="s">
        <v>153</v>
      </c>
      <c r="D30" s="144" t="s">
        <v>173</v>
      </c>
      <c r="E30" s="144" t="s">
        <v>226</v>
      </c>
      <c r="F30" s="144" t="s">
        <v>86</v>
      </c>
      <c r="G30" s="144" t="s">
        <v>301</v>
      </c>
      <c r="H30" s="144" t="s">
        <v>330</v>
      </c>
      <c r="I30" s="145">
        <v>100</v>
      </c>
      <c r="J30" s="147" t="s">
        <v>98</v>
      </c>
      <c r="K30" s="147" t="s">
        <v>98</v>
      </c>
      <c r="L30" s="147" t="s">
        <v>98</v>
      </c>
      <c r="M30" s="147" t="s">
        <v>98</v>
      </c>
      <c r="N30" s="147" t="s">
        <v>98</v>
      </c>
      <c r="O30" s="147" t="s">
        <v>98</v>
      </c>
      <c r="P30" s="147" t="s">
        <v>98</v>
      </c>
      <c r="Q30" s="147" t="s">
        <v>98</v>
      </c>
      <c r="R30" s="146" t="s">
        <v>126</v>
      </c>
      <c r="S30" s="261" t="s">
        <v>61</v>
      </c>
      <c r="T30" s="261" t="s">
        <v>61</v>
      </c>
      <c r="U30" s="261" t="s">
        <v>61</v>
      </c>
      <c r="V30" s="261" t="s">
        <v>61</v>
      </c>
      <c r="W30" s="261" t="s">
        <v>61</v>
      </c>
      <c r="X30" s="261" t="s">
        <v>61</v>
      </c>
      <c r="Y30" s="261" t="s">
        <v>61</v>
      </c>
      <c r="Z30" s="261" t="s">
        <v>61</v>
      </c>
      <c r="AA30" s="261" t="s">
        <v>61</v>
      </c>
      <c r="AB30" s="261" t="s">
        <v>61</v>
      </c>
      <c r="AC30" s="261" t="s">
        <v>61</v>
      </c>
      <c r="AD30" s="261" t="s">
        <v>61</v>
      </c>
      <c r="AE30" s="261" t="s">
        <v>61</v>
      </c>
      <c r="AF30" s="261" t="s">
        <v>61</v>
      </c>
      <c r="AG30" s="261" t="s">
        <v>61</v>
      </c>
      <c r="AH30" s="261" t="s">
        <v>61</v>
      </c>
      <c r="AI30" s="261" t="s">
        <v>61</v>
      </c>
      <c r="AJ30" s="261" t="s">
        <v>61</v>
      </c>
      <c r="AK30" s="244">
        <f t="shared" si="1"/>
        <v>0</v>
      </c>
      <c r="AL30" s="244">
        <f t="shared" si="2"/>
        <v>0</v>
      </c>
      <c r="AM30" s="244">
        <f t="shared" si="3"/>
        <v>0</v>
      </c>
      <c r="AN30" s="244">
        <f t="shared" si="4"/>
        <v>0</v>
      </c>
      <c r="AO30" s="244">
        <f t="shared" si="5"/>
        <v>0</v>
      </c>
      <c r="AP30" s="244">
        <f t="shared" si="6"/>
        <v>0</v>
      </c>
      <c r="AQ30" s="244">
        <f t="shared" si="7"/>
        <v>0</v>
      </c>
      <c r="AR30" s="244">
        <f t="shared" si="8"/>
        <v>0</v>
      </c>
      <c r="AS30" s="244">
        <f t="shared" si="9"/>
        <v>0</v>
      </c>
      <c r="AT30" s="244">
        <f t="shared" si="10"/>
        <v>0</v>
      </c>
      <c r="AU30" s="244">
        <f t="shared" si="11"/>
        <v>0</v>
      </c>
      <c r="AV30" s="244">
        <f t="shared" si="12"/>
        <v>0</v>
      </c>
      <c r="AW30" s="244">
        <f t="shared" si="13"/>
        <v>0</v>
      </c>
      <c r="AX30" s="244">
        <f t="shared" si="14"/>
        <v>0</v>
      </c>
      <c r="AY30" s="244">
        <f t="shared" si="15"/>
        <v>0</v>
      </c>
      <c r="AZ30" s="244">
        <f t="shared" si="16"/>
        <v>0</v>
      </c>
      <c r="BA30" s="244">
        <f t="shared" si="17"/>
        <v>0</v>
      </c>
      <c r="BB30" s="244">
        <f t="shared" si="18"/>
        <v>0</v>
      </c>
    </row>
    <row r="31" spans="1:54" x14ac:dyDescent="0.2">
      <c r="A31" s="143">
        <v>28</v>
      </c>
      <c r="B31" s="143">
        <v>44</v>
      </c>
      <c r="C31" s="184" t="s">
        <v>154</v>
      </c>
      <c r="D31" s="144" t="s">
        <v>188</v>
      </c>
      <c r="E31" s="144" t="s">
        <v>242</v>
      </c>
      <c r="F31" s="144" t="s">
        <v>275</v>
      </c>
      <c r="G31" s="144" t="s">
        <v>322</v>
      </c>
      <c r="H31" s="144" t="s">
        <v>330</v>
      </c>
      <c r="I31" s="145">
        <v>118</v>
      </c>
      <c r="J31" s="147" t="s">
        <v>98</v>
      </c>
      <c r="K31" s="147" t="s">
        <v>98</v>
      </c>
      <c r="L31" s="147" t="s">
        <v>98</v>
      </c>
      <c r="M31" s="147" t="s">
        <v>98</v>
      </c>
      <c r="N31" s="147" t="s">
        <v>98</v>
      </c>
      <c r="O31" s="147" t="s">
        <v>98</v>
      </c>
      <c r="P31" s="147" t="s">
        <v>98</v>
      </c>
      <c r="Q31" s="147" t="s">
        <v>98</v>
      </c>
      <c r="R31" s="146" t="s">
        <v>126</v>
      </c>
      <c r="S31" s="261" t="s">
        <v>61</v>
      </c>
      <c r="T31" s="261" t="s">
        <v>61</v>
      </c>
      <c r="U31" s="261" t="s">
        <v>61</v>
      </c>
      <c r="V31" s="261" t="s">
        <v>61</v>
      </c>
      <c r="W31" s="261" t="s">
        <v>61</v>
      </c>
      <c r="X31" s="261" t="s">
        <v>61</v>
      </c>
      <c r="Y31" s="261" t="s">
        <v>61</v>
      </c>
      <c r="Z31" s="261" t="s">
        <v>61</v>
      </c>
      <c r="AA31" s="261" t="s">
        <v>61</v>
      </c>
      <c r="AB31" s="261" t="s">
        <v>61</v>
      </c>
      <c r="AC31" s="261" t="s">
        <v>61</v>
      </c>
      <c r="AD31" s="261" t="s">
        <v>61</v>
      </c>
      <c r="AE31" s="261" t="s">
        <v>61</v>
      </c>
      <c r="AF31" s="261" t="s">
        <v>61</v>
      </c>
      <c r="AG31" s="261" t="s">
        <v>61</v>
      </c>
      <c r="AH31" s="261" t="s">
        <v>61</v>
      </c>
      <c r="AI31" s="261" t="s">
        <v>61</v>
      </c>
      <c r="AJ31" s="261" t="s">
        <v>61</v>
      </c>
      <c r="AK31" s="244">
        <f t="shared" si="1"/>
        <v>0</v>
      </c>
      <c r="AL31" s="244">
        <f t="shared" si="2"/>
        <v>0</v>
      </c>
      <c r="AM31" s="244">
        <f t="shared" si="3"/>
        <v>0</v>
      </c>
      <c r="AN31" s="244">
        <f t="shared" si="4"/>
        <v>0</v>
      </c>
      <c r="AO31" s="244">
        <f t="shared" si="5"/>
        <v>0</v>
      </c>
      <c r="AP31" s="244">
        <f t="shared" si="6"/>
        <v>0</v>
      </c>
      <c r="AQ31" s="244">
        <f t="shared" si="7"/>
        <v>0</v>
      </c>
      <c r="AR31" s="244">
        <f t="shared" si="8"/>
        <v>0</v>
      </c>
      <c r="AS31" s="244">
        <f t="shared" si="9"/>
        <v>0</v>
      </c>
      <c r="AT31" s="244">
        <f t="shared" si="10"/>
        <v>0</v>
      </c>
      <c r="AU31" s="244">
        <f t="shared" si="11"/>
        <v>0</v>
      </c>
      <c r="AV31" s="244">
        <f t="shared" si="12"/>
        <v>0</v>
      </c>
      <c r="AW31" s="244">
        <f t="shared" si="13"/>
        <v>0</v>
      </c>
      <c r="AX31" s="244">
        <f t="shared" si="14"/>
        <v>0</v>
      </c>
      <c r="AY31" s="244">
        <f t="shared" si="15"/>
        <v>0</v>
      </c>
      <c r="AZ31" s="244">
        <f t="shared" si="16"/>
        <v>0</v>
      </c>
      <c r="BA31" s="244">
        <f t="shared" si="17"/>
        <v>0</v>
      </c>
      <c r="BB31" s="244">
        <f t="shared" si="18"/>
        <v>0</v>
      </c>
    </row>
    <row r="32" spans="1:54" x14ac:dyDescent="0.2">
      <c r="A32" s="143">
        <v>29</v>
      </c>
      <c r="B32" s="143">
        <v>53</v>
      </c>
      <c r="C32" s="184" t="s">
        <v>154</v>
      </c>
      <c r="D32" s="144" t="s">
        <v>174</v>
      </c>
      <c r="E32" s="144" t="s">
        <v>214</v>
      </c>
      <c r="F32" s="144" t="s">
        <v>275</v>
      </c>
      <c r="G32" s="144" t="s">
        <v>295</v>
      </c>
      <c r="H32" s="144" t="s">
        <v>330</v>
      </c>
      <c r="I32" s="145">
        <v>395.4</v>
      </c>
      <c r="J32" s="147" t="s">
        <v>98</v>
      </c>
      <c r="K32" s="147" t="s">
        <v>98</v>
      </c>
      <c r="L32" s="147" t="s">
        <v>98</v>
      </c>
      <c r="M32" s="147" t="s">
        <v>98</v>
      </c>
      <c r="N32" s="147" t="s">
        <v>98</v>
      </c>
      <c r="O32" s="147" t="s">
        <v>98</v>
      </c>
      <c r="P32" s="147" t="s">
        <v>98</v>
      </c>
      <c r="Q32" s="147" t="s">
        <v>98</v>
      </c>
      <c r="R32" s="146" t="s">
        <v>126</v>
      </c>
      <c r="S32" s="261" t="s">
        <v>61</v>
      </c>
      <c r="T32" s="261" t="s">
        <v>61</v>
      </c>
      <c r="U32" s="261" t="s">
        <v>61</v>
      </c>
      <c r="V32" s="261" t="s">
        <v>61</v>
      </c>
      <c r="W32" s="261" t="s">
        <v>61</v>
      </c>
      <c r="X32" s="261" t="s">
        <v>61</v>
      </c>
      <c r="Y32" s="261" t="s">
        <v>61</v>
      </c>
      <c r="Z32" s="261" t="s">
        <v>61</v>
      </c>
      <c r="AA32" s="261" t="s">
        <v>61</v>
      </c>
      <c r="AB32" s="261" t="s">
        <v>61</v>
      </c>
      <c r="AC32" s="261" t="s">
        <v>61</v>
      </c>
      <c r="AD32" s="261" t="s">
        <v>61</v>
      </c>
      <c r="AE32" s="261" t="s">
        <v>61</v>
      </c>
      <c r="AF32" s="261" t="s">
        <v>61</v>
      </c>
      <c r="AG32" s="261" t="s">
        <v>61</v>
      </c>
      <c r="AH32" s="261" t="s">
        <v>61</v>
      </c>
      <c r="AI32" s="261" t="s">
        <v>61</v>
      </c>
      <c r="AJ32" s="261" t="s">
        <v>61</v>
      </c>
      <c r="AK32" s="244">
        <f t="shared" si="1"/>
        <v>0</v>
      </c>
      <c r="AL32" s="244">
        <f t="shared" si="2"/>
        <v>0</v>
      </c>
      <c r="AM32" s="244">
        <f t="shared" si="3"/>
        <v>0</v>
      </c>
      <c r="AN32" s="244">
        <f t="shared" si="4"/>
        <v>0</v>
      </c>
      <c r="AO32" s="244">
        <f t="shared" si="5"/>
        <v>0</v>
      </c>
      <c r="AP32" s="244">
        <f t="shared" si="6"/>
        <v>0</v>
      </c>
      <c r="AQ32" s="244">
        <f t="shared" si="7"/>
        <v>0</v>
      </c>
      <c r="AR32" s="244">
        <f t="shared" si="8"/>
        <v>0</v>
      </c>
      <c r="AS32" s="244">
        <f t="shared" si="9"/>
        <v>0</v>
      </c>
      <c r="AT32" s="244">
        <f t="shared" si="10"/>
        <v>0</v>
      </c>
      <c r="AU32" s="244">
        <f t="shared" si="11"/>
        <v>0</v>
      </c>
      <c r="AV32" s="244">
        <f t="shared" si="12"/>
        <v>0</v>
      </c>
      <c r="AW32" s="244">
        <f t="shared" si="13"/>
        <v>0</v>
      </c>
      <c r="AX32" s="244">
        <f t="shared" si="14"/>
        <v>0</v>
      </c>
      <c r="AY32" s="244">
        <f t="shared" si="15"/>
        <v>0</v>
      </c>
      <c r="AZ32" s="244">
        <f t="shared" si="16"/>
        <v>0</v>
      </c>
      <c r="BA32" s="244">
        <f t="shared" si="17"/>
        <v>0</v>
      </c>
      <c r="BB32" s="244">
        <f t="shared" si="18"/>
        <v>0</v>
      </c>
    </row>
    <row r="33" spans="1:54" x14ac:dyDescent="0.2">
      <c r="A33" s="143">
        <v>30</v>
      </c>
      <c r="B33" s="143">
        <v>407</v>
      </c>
      <c r="C33" s="184" t="s">
        <v>154</v>
      </c>
      <c r="D33" s="144" t="s">
        <v>175</v>
      </c>
      <c r="E33" s="144" t="s">
        <v>261</v>
      </c>
      <c r="F33" s="144" t="s">
        <v>59</v>
      </c>
      <c r="G33" s="144" t="s">
        <v>294</v>
      </c>
      <c r="H33" s="144" t="s">
        <v>330</v>
      </c>
      <c r="I33" s="145">
        <v>90</v>
      </c>
      <c r="J33" s="147" t="s">
        <v>98</v>
      </c>
      <c r="K33" s="147" t="s">
        <v>98</v>
      </c>
      <c r="L33" s="147" t="s">
        <v>98</v>
      </c>
      <c r="M33" s="147" t="s">
        <v>98</v>
      </c>
      <c r="N33" s="147" t="s">
        <v>98</v>
      </c>
      <c r="O33" s="147" t="s">
        <v>98</v>
      </c>
      <c r="P33" s="147" t="s">
        <v>98</v>
      </c>
      <c r="Q33" s="147" t="s">
        <v>98</v>
      </c>
      <c r="R33" s="146" t="s">
        <v>126</v>
      </c>
      <c r="S33" s="261" t="s">
        <v>61</v>
      </c>
      <c r="T33" s="261" t="s">
        <v>61</v>
      </c>
      <c r="U33" s="261" t="s">
        <v>61</v>
      </c>
      <c r="V33" s="261" t="s">
        <v>61</v>
      </c>
      <c r="W33" s="261" t="s">
        <v>61</v>
      </c>
      <c r="X33" s="261" t="s">
        <v>61</v>
      </c>
      <c r="Y33" s="261" t="s">
        <v>61</v>
      </c>
      <c r="Z33" s="261" t="s">
        <v>61</v>
      </c>
      <c r="AA33" s="261" t="s">
        <v>61</v>
      </c>
      <c r="AB33" s="261" t="s">
        <v>61</v>
      </c>
      <c r="AC33" s="261" t="s">
        <v>61</v>
      </c>
      <c r="AD33" s="261" t="s">
        <v>61</v>
      </c>
      <c r="AE33" s="261" t="s">
        <v>61</v>
      </c>
      <c r="AF33" s="261" t="s">
        <v>61</v>
      </c>
      <c r="AG33" s="261" t="s">
        <v>61</v>
      </c>
      <c r="AH33" s="261" t="s">
        <v>61</v>
      </c>
      <c r="AI33" s="261" t="s">
        <v>61</v>
      </c>
      <c r="AJ33" s="261" t="s">
        <v>61</v>
      </c>
      <c r="AK33" s="244">
        <f t="shared" si="1"/>
        <v>0</v>
      </c>
      <c r="AL33" s="244">
        <f t="shared" si="2"/>
        <v>0</v>
      </c>
      <c r="AM33" s="244">
        <f t="shared" si="3"/>
        <v>0</v>
      </c>
      <c r="AN33" s="244">
        <f t="shared" si="4"/>
        <v>0</v>
      </c>
      <c r="AO33" s="244">
        <f t="shared" si="5"/>
        <v>0</v>
      </c>
      <c r="AP33" s="244">
        <f t="shared" si="6"/>
        <v>0</v>
      </c>
      <c r="AQ33" s="244">
        <f t="shared" si="7"/>
        <v>0</v>
      </c>
      <c r="AR33" s="244">
        <f t="shared" si="8"/>
        <v>0</v>
      </c>
      <c r="AS33" s="244">
        <f t="shared" si="9"/>
        <v>0</v>
      </c>
      <c r="AT33" s="244">
        <f t="shared" si="10"/>
        <v>0</v>
      </c>
      <c r="AU33" s="244">
        <f t="shared" si="11"/>
        <v>0</v>
      </c>
      <c r="AV33" s="244">
        <f t="shared" si="12"/>
        <v>0</v>
      </c>
      <c r="AW33" s="244">
        <f t="shared" si="13"/>
        <v>0</v>
      </c>
      <c r="AX33" s="244">
        <f t="shared" si="14"/>
        <v>0</v>
      </c>
      <c r="AY33" s="244">
        <f t="shared" si="15"/>
        <v>0</v>
      </c>
      <c r="AZ33" s="244">
        <f t="shared" si="16"/>
        <v>0</v>
      </c>
      <c r="BA33" s="244">
        <f t="shared" si="17"/>
        <v>0</v>
      </c>
      <c r="BB33" s="244">
        <f t="shared" si="18"/>
        <v>0</v>
      </c>
    </row>
    <row r="34" spans="1:54" x14ac:dyDescent="0.2">
      <c r="A34" s="143">
        <v>31</v>
      </c>
      <c r="B34" s="143">
        <v>444</v>
      </c>
      <c r="C34" s="184" t="s">
        <v>154</v>
      </c>
      <c r="D34" s="144" t="s">
        <v>176</v>
      </c>
      <c r="E34" s="144" t="s">
        <v>256</v>
      </c>
      <c r="F34" s="144" t="s">
        <v>59</v>
      </c>
      <c r="G34" s="144" t="s">
        <v>328</v>
      </c>
      <c r="H34" s="144" t="s">
        <v>330</v>
      </c>
      <c r="I34" s="145">
        <v>100</v>
      </c>
      <c r="J34" s="147" t="s">
        <v>98</v>
      </c>
      <c r="K34" s="147" t="s">
        <v>98</v>
      </c>
      <c r="L34" s="147" t="s">
        <v>98</v>
      </c>
      <c r="M34" s="147" t="s">
        <v>98</v>
      </c>
      <c r="N34" s="147" t="s">
        <v>98</v>
      </c>
      <c r="O34" s="147" t="s">
        <v>98</v>
      </c>
      <c r="P34" s="147" t="s">
        <v>98</v>
      </c>
      <c r="Q34" s="147" t="s">
        <v>98</v>
      </c>
      <c r="R34" s="146" t="s">
        <v>126</v>
      </c>
      <c r="S34" s="261" t="s">
        <v>61</v>
      </c>
      <c r="T34" s="261" t="s">
        <v>61</v>
      </c>
      <c r="U34" s="261" t="s">
        <v>61</v>
      </c>
      <c r="V34" s="261" t="s">
        <v>61</v>
      </c>
      <c r="W34" s="261" t="s">
        <v>61</v>
      </c>
      <c r="X34" s="261" t="s">
        <v>61</v>
      </c>
      <c r="Y34" s="261" t="s">
        <v>61</v>
      </c>
      <c r="Z34" s="261" t="s">
        <v>61</v>
      </c>
      <c r="AA34" s="261" t="s">
        <v>61</v>
      </c>
      <c r="AB34" s="261" t="s">
        <v>61</v>
      </c>
      <c r="AC34" s="261" t="s">
        <v>61</v>
      </c>
      <c r="AD34" s="261" t="s">
        <v>61</v>
      </c>
      <c r="AE34" s="261" t="s">
        <v>61</v>
      </c>
      <c r="AF34" s="261" t="s">
        <v>61</v>
      </c>
      <c r="AG34" s="261" t="s">
        <v>61</v>
      </c>
      <c r="AH34" s="261" t="s">
        <v>61</v>
      </c>
      <c r="AI34" s="261" t="s">
        <v>61</v>
      </c>
      <c r="AJ34" s="261" t="s">
        <v>61</v>
      </c>
      <c r="AK34" s="244">
        <f t="shared" si="1"/>
        <v>0</v>
      </c>
      <c r="AL34" s="244">
        <f t="shared" si="2"/>
        <v>0</v>
      </c>
      <c r="AM34" s="244">
        <f t="shared" si="3"/>
        <v>0</v>
      </c>
      <c r="AN34" s="244">
        <f t="shared" si="4"/>
        <v>0</v>
      </c>
      <c r="AO34" s="244">
        <f t="shared" si="5"/>
        <v>0</v>
      </c>
      <c r="AP34" s="244">
        <f t="shared" si="6"/>
        <v>0</v>
      </c>
      <c r="AQ34" s="244">
        <f t="shared" si="7"/>
        <v>0</v>
      </c>
      <c r="AR34" s="244">
        <f t="shared" si="8"/>
        <v>0</v>
      </c>
      <c r="AS34" s="244">
        <f t="shared" si="9"/>
        <v>0</v>
      </c>
      <c r="AT34" s="244">
        <f t="shared" si="10"/>
        <v>0</v>
      </c>
      <c r="AU34" s="244">
        <f t="shared" si="11"/>
        <v>0</v>
      </c>
      <c r="AV34" s="244">
        <f t="shared" si="12"/>
        <v>0</v>
      </c>
      <c r="AW34" s="244">
        <f t="shared" si="13"/>
        <v>0</v>
      </c>
      <c r="AX34" s="244">
        <f t="shared" si="14"/>
        <v>0</v>
      </c>
      <c r="AY34" s="244">
        <f t="shared" si="15"/>
        <v>0</v>
      </c>
      <c r="AZ34" s="244">
        <f t="shared" si="16"/>
        <v>0</v>
      </c>
      <c r="BA34" s="244">
        <f t="shared" si="17"/>
        <v>0</v>
      </c>
      <c r="BB34" s="244">
        <f t="shared" si="18"/>
        <v>0</v>
      </c>
    </row>
    <row r="35" spans="1:54" x14ac:dyDescent="0.2">
      <c r="A35" s="143">
        <v>32</v>
      </c>
      <c r="B35" s="143">
        <v>406</v>
      </c>
      <c r="C35" s="184" t="s">
        <v>154</v>
      </c>
      <c r="D35" s="144" t="s">
        <v>175</v>
      </c>
      <c r="E35" s="144" t="s">
        <v>262</v>
      </c>
      <c r="F35" s="144" t="s">
        <v>276</v>
      </c>
      <c r="G35" s="144" t="s">
        <v>282</v>
      </c>
      <c r="H35" s="144" t="s">
        <v>330</v>
      </c>
      <c r="I35" s="145">
        <v>120</v>
      </c>
      <c r="J35" s="147" t="s">
        <v>98</v>
      </c>
      <c r="K35" s="147" t="s">
        <v>98</v>
      </c>
      <c r="L35" s="147" t="s">
        <v>98</v>
      </c>
      <c r="M35" s="147" t="s">
        <v>98</v>
      </c>
      <c r="N35" s="147" t="s">
        <v>98</v>
      </c>
      <c r="O35" s="147" t="s">
        <v>98</v>
      </c>
      <c r="P35" s="147" t="s">
        <v>98</v>
      </c>
      <c r="Q35" s="147" t="s">
        <v>98</v>
      </c>
      <c r="R35" s="146" t="s">
        <v>126</v>
      </c>
      <c r="S35" s="261" t="s">
        <v>61</v>
      </c>
      <c r="T35" s="261" t="s">
        <v>61</v>
      </c>
      <c r="U35" s="261" t="s">
        <v>61</v>
      </c>
      <c r="V35" s="261" t="s">
        <v>61</v>
      </c>
      <c r="W35" s="261" t="s">
        <v>61</v>
      </c>
      <c r="X35" s="261" t="s">
        <v>61</v>
      </c>
      <c r="Y35" s="261" t="s">
        <v>61</v>
      </c>
      <c r="Z35" s="261" t="s">
        <v>61</v>
      </c>
      <c r="AA35" s="261" t="s">
        <v>61</v>
      </c>
      <c r="AB35" s="261" t="s">
        <v>61</v>
      </c>
      <c r="AC35" s="261" t="s">
        <v>61</v>
      </c>
      <c r="AD35" s="261" t="s">
        <v>61</v>
      </c>
      <c r="AE35" s="261" t="s">
        <v>61</v>
      </c>
      <c r="AF35" s="261" t="s">
        <v>61</v>
      </c>
      <c r="AG35" s="261" t="s">
        <v>61</v>
      </c>
      <c r="AH35" s="261" t="s">
        <v>61</v>
      </c>
      <c r="AI35" s="261" t="s">
        <v>61</v>
      </c>
      <c r="AJ35" s="261" t="s">
        <v>61</v>
      </c>
      <c r="AK35" s="244">
        <f t="shared" si="1"/>
        <v>0</v>
      </c>
      <c r="AL35" s="244">
        <f t="shared" si="2"/>
        <v>0</v>
      </c>
      <c r="AM35" s="244">
        <f t="shared" si="3"/>
        <v>0</v>
      </c>
      <c r="AN35" s="244">
        <f t="shared" si="4"/>
        <v>0</v>
      </c>
      <c r="AO35" s="244">
        <f t="shared" si="5"/>
        <v>0</v>
      </c>
      <c r="AP35" s="244">
        <f t="shared" si="6"/>
        <v>0</v>
      </c>
      <c r="AQ35" s="244">
        <f t="shared" si="7"/>
        <v>0</v>
      </c>
      <c r="AR35" s="244">
        <f t="shared" si="8"/>
        <v>0</v>
      </c>
      <c r="AS35" s="244">
        <f t="shared" si="9"/>
        <v>0</v>
      </c>
      <c r="AT35" s="244">
        <f t="shared" si="10"/>
        <v>0</v>
      </c>
      <c r="AU35" s="244">
        <f t="shared" si="11"/>
        <v>0</v>
      </c>
      <c r="AV35" s="244">
        <f t="shared" si="12"/>
        <v>0</v>
      </c>
      <c r="AW35" s="244">
        <f t="shared" si="13"/>
        <v>0</v>
      </c>
      <c r="AX35" s="244">
        <f t="shared" si="14"/>
        <v>0</v>
      </c>
      <c r="AY35" s="244">
        <f t="shared" si="15"/>
        <v>0</v>
      </c>
      <c r="AZ35" s="244">
        <f t="shared" si="16"/>
        <v>0</v>
      </c>
      <c r="BA35" s="244">
        <f t="shared" si="17"/>
        <v>0</v>
      </c>
      <c r="BB35" s="244">
        <f t="shared" si="18"/>
        <v>0</v>
      </c>
    </row>
    <row r="36" spans="1:54" x14ac:dyDescent="0.2">
      <c r="A36" s="143">
        <v>33</v>
      </c>
      <c r="B36" s="143">
        <v>590</v>
      </c>
      <c r="C36" s="184" t="s">
        <v>154</v>
      </c>
      <c r="D36" s="144" t="s">
        <v>202</v>
      </c>
      <c r="E36" s="144" t="s">
        <v>237</v>
      </c>
      <c r="F36" s="144" t="s">
        <v>85</v>
      </c>
      <c r="G36" s="144" t="s">
        <v>321</v>
      </c>
      <c r="H36" s="144" t="s">
        <v>330</v>
      </c>
      <c r="I36" s="145">
        <v>330</v>
      </c>
      <c r="J36" s="147" t="s">
        <v>98</v>
      </c>
      <c r="K36" s="147" t="s">
        <v>98</v>
      </c>
      <c r="L36" s="147" t="s">
        <v>98</v>
      </c>
      <c r="M36" s="147" t="s">
        <v>98</v>
      </c>
      <c r="N36" s="147" t="s">
        <v>98</v>
      </c>
      <c r="O36" s="147" t="s">
        <v>98</v>
      </c>
      <c r="P36" s="147" t="s">
        <v>98</v>
      </c>
      <c r="Q36" s="147" t="s">
        <v>98</v>
      </c>
      <c r="R36" s="146" t="s">
        <v>126</v>
      </c>
      <c r="S36" s="261" t="s">
        <v>61</v>
      </c>
      <c r="T36" s="261" t="s">
        <v>61</v>
      </c>
      <c r="U36" s="261" t="s">
        <v>61</v>
      </c>
      <c r="V36" s="261" t="s">
        <v>61</v>
      </c>
      <c r="W36" s="261" t="s">
        <v>61</v>
      </c>
      <c r="X36" s="261" t="s">
        <v>61</v>
      </c>
      <c r="Y36" s="261" t="s">
        <v>61</v>
      </c>
      <c r="Z36" s="261" t="s">
        <v>61</v>
      </c>
      <c r="AA36" s="261" t="s">
        <v>61</v>
      </c>
      <c r="AB36" s="261" t="s">
        <v>61</v>
      </c>
      <c r="AC36" s="261" t="s">
        <v>61</v>
      </c>
      <c r="AD36" s="261" t="s">
        <v>61</v>
      </c>
      <c r="AE36" s="261" t="s">
        <v>61</v>
      </c>
      <c r="AF36" s="261" t="s">
        <v>61</v>
      </c>
      <c r="AG36" s="261" t="s">
        <v>61</v>
      </c>
      <c r="AH36" s="261" t="s">
        <v>61</v>
      </c>
      <c r="AI36" s="261" t="s">
        <v>61</v>
      </c>
      <c r="AJ36" s="261" t="s">
        <v>61</v>
      </c>
      <c r="AK36" s="244">
        <f t="shared" si="1"/>
        <v>0</v>
      </c>
      <c r="AL36" s="244">
        <f t="shared" si="2"/>
        <v>0</v>
      </c>
      <c r="AM36" s="244">
        <f t="shared" si="3"/>
        <v>0</v>
      </c>
      <c r="AN36" s="244">
        <f t="shared" si="4"/>
        <v>0</v>
      </c>
      <c r="AO36" s="244">
        <f t="shared" si="5"/>
        <v>0</v>
      </c>
      <c r="AP36" s="244">
        <f t="shared" si="6"/>
        <v>0</v>
      </c>
      <c r="AQ36" s="244">
        <f t="shared" si="7"/>
        <v>0</v>
      </c>
      <c r="AR36" s="244">
        <f t="shared" si="8"/>
        <v>0</v>
      </c>
      <c r="AS36" s="244">
        <f t="shared" si="9"/>
        <v>0</v>
      </c>
      <c r="AT36" s="244">
        <f t="shared" si="10"/>
        <v>0</v>
      </c>
      <c r="AU36" s="244">
        <f t="shared" si="11"/>
        <v>0</v>
      </c>
      <c r="AV36" s="244">
        <f t="shared" si="12"/>
        <v>0</v>
      </c>
      <c r="AW36" s="244">
        <f t="shared" si="13"/>
        <v>0</v>
      </c>
      <c r="AX36" s="244">
        <f t="shared" si="14"/>
        <v>0</v>
      </c>
      <c r="AY36" s="244">
        <f t="shared" si="15"/>
        <v>0</v>
      </c>
      <c r="AZ36" s="244">
        <f t="shared" si="16"/>
        <v>0</v>
      </c>
      <c r="BA36" s="244">
        <f t="shared" si="17"/>
        <v>0</v>
      </c>
      <c r="BB36" s="244">
        <f t="shared" si="18"/>
        <v>0</v>
      </c>
    </row>
    <row r="37" spans="1:54" x14ac:dyDescent="0.2">
      <c r="A37" s="143">
        <v>34</v>
      </c>
      <c r="B37" s="143">
        <v>142</v>
      </c>
      <c r="C37" s="184" t="s">
        <v>154</v>
      </c>
      <c r="D37" s="144" t="s">
        <v>189</v>
      </c>
      <c r="E37" s="144" t="s">
        <v>216</v>
      </c>
      <c r="F37" s="144" t="s">
        <v>275</v>
      </c>
      <c r="G37" s="144" t="s">
        <v>296</v>
      </c>
      <c r="H37" s="144" t="s">
        <v>330</v>
      </c>
      <c r="I37" s="145">
        <v>80</v>
      </c>
      <c r="J37" s="147" t="s">
        <v>98</v>
      </c>
      <c r="K37" s="147" t="s">
        <v>98</v>
      </c>
      <c r="L37" s="147" t="s">
        <v>98</v>
      </c>
      <c r="M37" s="147" t="s">
        <v>98</v>
      </c>
      <c r="N37" s="147" t="s">
        <v>98</v>
      </c>
      <c r="O37" s="147" t="s">
        <v>98</v>
      </c>
      <c r="P37" s="147" t="s">
        <v>98</v>
      </c>
      <c r="Q37" s="147" t="s">
        <v>98</v>
      </c>
      <c r="R37" s="146" t="s">
        <v>126</v>
      </c>
      <c r="S37" s="261" t="s">
        <v>61</v>
      </c>
      <c r="T37" s="261" t="s">
        <v>61</v>
      </c>
      <c r="U37" s="261" t="s">
        <v>61</v>
      </c>
      <c r="V37" s="261" t="s">
        <v>61</v>
      </c>
      <c r="W37" s="261" t="s">
        <v>61</v>
      </c>
      <c r="X37" s="261" t="s">
        <v>61</v>
      </c>
      <c r="Y37" s="261" t="s">
        <v>61</v>
      </c>
      <c r="Z37" s="261" t="s">
        <v>61</v>
      </c>
      <c r="AA37" s="261" t="s">
        <v>61</v>
      </c>
      <c r="AB37" s="261" t="s">
        <v>61</v>
      </c>
      <c r="AC37" s="261" t="s">
        <v>61</v>
      </c>
      <c r="AD37" s="261" t="s">
        <v>61</v>
      </c>
      <c r="AE37" s="261" t="s">
        <v>61</v>
      </c>
      <c r="AF37" s="261" t="s">
        <v>61</v>
      </c>
      <c r="AG37" s="261" t="s">
        <v>61</v>
      </c>
      <c r="AH37" s="261" t="s">
        <v>61</v>
      </c>
      <c r="AI37" s="261" t="s">
        <v>61</v>
      </c>
      <c r="AJ37" s="261" t="s">
        <v>61</v>
      </c>
      <c r="AK37" s="244">
        <f t="shared" si="1"/>
        <v>0</v>
      </c>
      <c r="AL37" s="244">
        <f t="shared" si="2"/>
        <v>0</v>
      </c>
      <c r="AM37" s="244">
        <f t="shared" si="3"/>
        <v>0</v>
      </c>
      <c r="AN37" s="244">
        <f t="shared" si="4"/>
        <v>0</v>
      </c>
      <c r="AO37" s="244">
        <f t="shared" si="5"/>
        <v>0</v>
      </c>
      <c r="AP37" s="244">
        <f t="shared" si="6"/>
        <v>0</v>
      </c>
      <c r="AQ37" s="244">
        <f t="shared" si="7"/>
        <v>0</v>
      </c>
      <c r="AR37" s="244">
        <f t="shared" si="8"/>
        <v>0</v>
      </c>
      <c r="AS37" s="244">
        <f t="shared" si="9"/>
        <v>0</v>
      </c>
      <c r="AT37" s="244">
        <f t="shared" si="10"/>
        <v>0</v>
      </c>
      <c r="AU37" s="244">
        <f t="shared" si="11"/>
        <v>0</v>
      </c>
      <c r="AV37" s="244">
        <f t="shared" si="12"/>
        <v>0</v>
      </c>
      <c r="AW37" s="244">
        <f t="shared" si="13"/>
        <v>0</v>
      </c>
      <c r="AX37" s="244">
        <f t="shared" si="14"/>
        <v>0</v>
      </c>
      <c r="AY37" s="244">
        <f t="shared" si="15"/>
        <v>0</v>
      </c>
      <c r="AZ37" s="244">
        <f t="shared" si="16"/>
        <v>0</v>
      </c>
      <c r="BA37" s="244">
        <f t="shared" si="17"/>
        <v>0</v>
      </c>
      <c r="BB37" s="244">
        <f t="shared" si="18"/>
        <v>0</v>
      </c>
    </row>
    <row r="38" spans="1:54" x14ac:dyDescent="0.2">
      <c r="A38" s="143">
        <v>35</v>
      </c>
      <c r="B38" s="143">
        <v>415</v>
      </c>
      <c r="C38" s="184" t="s">
        <v>154</v>
      </c>
      <c r="D38" s="144" t="s">
        <v>190</v>
      </c>
      <c r="E38" s="144" t="s">
        <v>228</v>
      </c>
      <c r="F38" s="144" t="s">
        <v>275</v>
      </c>
      <c r="G38" s="144" t="s">
        <v>297</v>
      </c>
      <c r="H38" s="144" t="s">
        <v>330</v>
      </c>
      <c r="I38" s="145">
        <v>100</v>
      </c>
      <c r="J38" s="147" t="s">
        <v>98</v>
      </c>
      <c r="K38" s="147" t="s">
        <v>98</v>
      </c>
      <c r="L38" s="147" t="s">
        <v>98</v>
      </c>
      <c r="M38" s="147" t="s">
        <v>98</v>
      </c>
      <c r="N38" s="147" t="s">
        <v>98</v>
      </c>
      <c r="O38" s="147" t="s">
        <v>98</v>
      </c>
      <c r="P38" s="147" t="s">
        <v>98</v>
      </c>
      <c r="Q38" s="147" t="s">
        <v>98</v>
      </c>
      <c r="R38" s="146" t="s">
        <v>126</v>
      </c>
      <c r="S38" s="261" t="s">
        <v>61</v>
      </c>
      <c r="T38" s="261" t="s">
        <v>61</v>
      </c>
      <c r="U38" s="261" t="s">
        <v>61</v>
      </c>
      <c r="V38" s="261" t="s">
        <v>61</v>
      </c>
      <c r="W38" s="261" t="s">
        <v>61</v>
      </c>
      <c r="X38" s="261" t="s">
        <v>61</v>
      </c>
      <c r="Y38" s="261" t="s">
        <v>61</v>
      </c>
      <c r="Z38" s="261" t="s">
        <v>61</v>
      </c>
      <c r="AA38" s="261" t="s">
        <v>61</v>
      </c>
      <c r="AB38" s="261" t="s">
        <v>61</v>
      </c>
      <c r="AC38" s="261" t="s">
        <v>61</v>
      </c>
      <c r="AD38" s="261" t="s">
        <v>61</v>
      </c>
      <c r="AE38" s="261" t="s">
        <v>61</v>
      </c>
      <c r="AF38" s="261" t="s">
        <v>61</v>
      </c>
      <c r="AG38" s="261" t="s">
        <v>61</v>
      </c>
      <c r="AH38" s="261" t="s">
        <v>61</v>
      </c>
      <c r="AI38" s="261" t="s">
        <v>61</v>
      </c>
      <c r="AJ38" s="261" t="s">
        <v>61</v>
      </c>
      <c r="AK38" s="244">
        <f t="shared" si="1"/>
        <v>0</v>
      </c>
      <c r="AL38" s="244">
        <f t="shared" si="2"/>
        <v>0</v>
      </c>
      <c r="AM38" s="244">
        <f t="shared" si="3"/>
        <v>0</v>
      </c>
      <c r="AN38" s="244">
        <f t="shared" si="4"/>
        <v>0</v>
      </c>
      <c r="AO38" s="244">
        <f t="shared" si="5"/>
        <v>0</v>
      </c>
      <c r="AP38" s="244">
        <f t="shared" si="6"/>
        <v>0</v>
      </c>
      <c r="AQ38" s="244">
        <f t="shared" si="7"/>
        <v>0</v>
      </c>
      <c r="AR38" s="244">
        <f t="shared" si="8"/>
        <v>0</v>
      </c>
      <c r="AS38" s="244">
        <f t="shared" si="9"/>
        <v>0</v>
      </c>
      <c r="AT38" s="244">
        <f t="shared" si="10"/>
        <v>0</v>
      </c>
      <c r="AU38" s="244">
        <f t="shared" si="11"/>
        <v>0</v>
      </c>
      <c r="AV38" s="244">
        <f t="shared" si="12"/>
        <v>0</v>
      </c>
      <c r="AW38" s="244">
        <f t="shared" si="13"/>
        <v>0</v>
      </c>
      <c r="AX38" s="244">
        <f t="shared" si="14"/>
        <v>0</v>
      </c>
      <c r="AY38" s="244">
        <f t="shared" si="15"/>
        <v>0</v>
      </c>
      <c r="AZ38" s="244">
        <f t="shared" si="16"/>
        <v>0</v>
      </c>
      <c r="BA38" s="244">
        <f t="shared" si="17"/>
        <v>0</v>
      </c>
      <c r="BB38" s="244">
        <f t="shared" si="18"/>
        <v>0</v>
      </c>
    </row>
    <row r="39" spans="1:54" x14ac:dyDescent="0.2">
      <c r="A39" s="143">
        <v>36</v>
      </c>
      <c r="B39" s="143">
        <v>150</v>
      </c>
      <c r="C39" s="184" t="s">
        <v>154</v>
      </c>
      <c r="D39" s="144" t="s">
        <v>191</v>
      </c>
      <c r="E39" s="144" t="s">
        <v>251</v>
      </c>
      <c r="F39" s="144" t="s">
        <v>85</v>
      </c>
      <c r="G39" s="144" t="s">
        <v>84</v>
      </c>
      <c r="H39" s="144" t="s">
        <v>330</v>
      </c>
      <c r="I39" s="145">
        <v>75</v>
      </c>
      <c r="J39" s="147" t="s">
        <v>98</v>
      </c>
      <c r="K39" s="147" t="s">
        <v>98</v>
      </c>
      <c r="L39" s="147" t="s">
        <v>98</v>
      </c>
      <c r="M39" s="147" t="s">
        <v>98</v>
      </c>
      <c r="N39" s="147" t="s">
        <v>98</v>
      </c>
      <c r="O39" s="147" t="s">
        <v>98</v>
      </c>
      <c r="P39" s="147" t="s">
        <v>98</v>
      </c>
      <c r="Q39" s="147" t="s">
        <v>98</v>
      </c>
      <c r="R39" s="146" t="s">
        <v>126</v>
      </c>
      <c r="S39" s="261" t="s">
        <v>61</v>
      </c>
      <c r="T39" s="261" t="s">
        <v>61</v>
      </c>
      <c r="U39" s="261" t="s">
        <v>61</v>
      </c>
      <c r="V39" s="261" t="s">
        <v>61</v>
      </c>
      <c r="W39" s="261" t="s">
        <v>61</v>
      </c>
      <c r="X39" s="261" t="s">
        <v>61</v>
      </c>
      <c r="Y39" s="261" t="s">
        <v>61</v>
      </c>
      <c r="Z39" s="261" t="s">
        <v>61</v>
      </c>
      <c r="AA39" s="261" t="s">
        <v>61</v>
      </c>
      <c r="AB39" s="261" t="s">
        <v>61</v>
      </c>
      <c r="AC39" s="261" t="s">
        <v>61</v>
      </c>
      <c r="AD39" s="261" t="s">
        <v>61</v>
      </c>
      <c r="AE39" s="261" t="s">
        <v>61</v>
      </c>
      <c r="AF39" s="261" t="s">
        <v>61</v>
      </c>
      <c r="AG39" s="261" t="s">
        <v>61</v>
      </c>
      <c r="AH39" s="261" t="s">
        <v>61</v>
      </c>
      <c r="AI39" s="261" t="s">
        <v>61</v>
      </c>
      <c r="AJ39" s="261" t="s">
        <v>61</v>
      </c>
      <c r="AK39" s="244">
        <f t="shared" si="1"/>
        <v>0</v>
      </c>
      <c r="AL39" s="244">
        <f t="shared" si="2"/>
        <v>0</v>
      </c>
      <c r="AM39" s="244">
        <f t="shared" si="3"/>
        <v>0</v>
      </c>
      <c r="AN39" s="244">
        <f t="shared" si="4"/>
        <v>0</v>
      </c>
      <c r="AO39" s="244">
        <f t="shared" si="5"/>
        <v>0</v>
      </c>
      <c r="AP39" s="244">
        <f t="shared" si="6"/>
        <v>0</v>
      </c>
      <c r="AQ39" s="244">
        <f t="shared" si="7"/>
        <v>0</v>
      </c>
      <c r="AR39" s="244">
        <f t="shared" si="8"/>
        <v>0</v>
      </c>
      <c r="AS39" s="244">
        <f t="shared" si="9"/>
        <v>0</v>
      </c>
      <c r="AT39" s="244">
        <f t="shared" si="10"/>
        <v>0</v>
      </c>
      <c r="AU39" s="244">
        <f t="shared" si="11"/>
        <v>0</v>
      </c>
      <c r="AV39" s="244">
        <f t="shared" si="12"/>
        <v>0</v>
      </c>
      <c r="AW39" s="244">
        <f t="shared" si="13"/>
        <v>0</v>
      </c>
      <c r="AX39" s="244">
        <f t="shared" si="14"/>
        <v>0</v>
      </c>
      <c r="AY39" s="244">
        <f t="shared" si="15"/>
        <v>0</v>
      </c>
      <c r="AZ39" s="244">
        <f t="shared" si="16"/>
        <v>0</v>
      </c>
      <c r="BA39" s="244">
        <f t="shared" si="17"/>
        <v>0</v>
      </c>
      <c r="BB39" s="244">
        <f t="shared" si="18"/>
        <v>0</v>
      </c>
    </row>
    <row r="40" spans="1:54" x14ac:dyDescent="0.2">
      <c r="A40" s="143">
        <v>37</v>
      </c>
      <c r="B40" s="143">
        <v>198</v>
      </c>
      <c r="C40" s="184" t="s">
        <v>154</v>
      </c>
      <c r="D40" s="144" t="s">
        <v>192</v>
      </c>
      <c r="E40" s="144" t="s">
        <v>210</v>
      </c>
      <c r="F40" s="144" t="s">
        <v>59</v>
      </c>
      <c r="G40" s="144" t="s">
        <v>293</v>
      </c>
      <c r="H40" s="144" t="s">
        <v>330</v>
      </c>
      <c r="I40" s="145">
        <v>100</v>
      </c>
      <c r="J40" s="147" t="s">
        <v>98</v>
      </c>
      <c r="K40" s="147" t="s">
        <v>98</v>
      </c>
      <c r="L40" s="147" t="s">
        <v>98</v>
      </c>
      <c r="M40" s="147" t="s">
        <v>98</v>
      </c>
      <c r="N40" s="147" t="s">
        <v>98</v>
      </c>
      <c r="O40" s="147" t="s">
        <v>98</v>
      </c>
      <c r="P40" s="147" t="s">
        <v>98</v>
      </c>
      <c r="Q40" s="147" t="s">
        <v>98</v>
      </c>
      <c r="R40" s="146" t="s">
        <v>126</v>
      </c>
      <c r="S40" s="261" t="s">
        <v>61</v>
      </c>
      <c r="T40" s="261" t="s">
        <v>61</v>
      </c>
      <c r="U40" s="261" t="s">
        <v>61</v>
      </c>
      <c r="V40" s="261" t="s">
        <v>61</v>
      </c>
      <c r="W40" s="261" t="s">
        <v>61</v>
      </c>
      <c r="X40" s="261" t="s">
        <v>61</v>
      </c>
      <c r="Y40" s="261" t="s">
        <v>61</v>
      </c>
      <c r="Z40" s="261" t="s">
        <v>61</v>
      </c>
      <c r="AA40" s="261" t="s">
        <v>61</v>
      </c>
      <c r="AB40" s="261" t="s">
        <v>61</v>
      </c>
      <c r="AC40" s="261" t="s">
        <v>61</v>
      </c>
      <c r="AD40" s="261" t="s">
        <v>61</v>
      </c>
      <c r="AE40" s="261" t="s">
        <v>61</v>
      </c>
      <c r="AF40" s="261" t="s">
        <v>61</v>
      </c>
      <c r="AG40" s="261" t="s">
        <v>61</v>
      </c>
      <c r="AH40" s="261" t="s">
        <v>61</v>
      </c>
      <c r="AI40" s="261" t="s">
        <v>61</v>
      </c>
      <c r="AJ40" s="261" t="s">
        <v>61</v>
      </c>
      <c r="AK40" s="244">
        <f t="shared" si="1"/>
        <v>0</v>
      </c>
      <c r="AL40" s="244">
        <f t="shared" si="2"/>
        <v>0</v>
      </c>
      <c r="AM40" s="244">
        <f t="shared" si="3"/>
        <v>0</v>
      </c>
      <c r="AN40" s="244">
        <f t="shared" si="4"/>
        <v>0</v>
      </c>
      <c r="AO40" s="244">
        <f t="shared" si="5"/>
        <v>0</v>
      </c>
      <c r="AP40" s="244">
        <f t="shared" si="6"/>
        <v>0</v>
      </c>
      <c r="AQ40" s="244">
        <f t="shared" si="7"/>
        <v>0</v>
      </c>
      <c r="AR40" s="244">
        <f t="shared" si="8"/>
        <v>0</v>
      </c>
      <c r="AS40" s="244">
        <f t="shared" si="9"/>
        <v>0</v>
      </c>
      <c r="AT40" s="244">
        <f t="shared" si="10"/>
        <v>0</v>
      </c>
      <c r="AU40" s="244">
        <f t="shared" si="11"/>
        <v>0</v>
      </c>
      <c r="AV40" s="244">
        <f t="shared" si="12"/>
        <v>0</v>
      </c>
      <c r="AW40" s="244">
        <f t="shared" si="13"/>
        <v>0</v>
      </c>
      <c r="AX40" s="244">
        <f t="shared" si="14"/>
        <v>0</v>
      </c>
      <c r="AY40" s="244">
        <f t="shared" si="15"/>
        <v>0</v>
      </c>
      <c r="AZ40" s="244">
        <f t="shared" si="16"/>
        <v>0</v>
      </c>
      <c r="BA40" s="244">
        <f t="shared" si="17"/>
        <v>0</v>
      </c>
      <c r="BB40" s="244">
        <f t="shared" si="18"/>
        <v>0</v>
      </c>
    </row>
    <row r="41" spans="1:54" x14ac:dyDescent="0.2">
      <c r="A41" s="143">
        <v>38</v>
      </c>
      <c r="B41" s="143">
        <v>145</v>
      </c>
      <c r="C41" s="184" t="s">
        <v>154</v>
      </c>
      <c r="D41" s="144" t="s">
        <v>193</v>
      </c>
      <c r="E41" s="144" t="s">
        <v>212</v>
      </c>
      <c r="F41" s="144" t="s">
        <v>275</v>
      </c>
      <c r="G41" s="144" t="s">
        <v>326</v>
      </c>
      <c r="H41" s="144" t="s">
        <v>330</v>
      </c>
      <c r="I41" s="145">
        <v>150</v>
      </c>
      <c r="J41" s="147" t="s">
        <v>98</v>
      </c>
      <c r="K41" s="147" t="s">
        <v>98</v>
      </c>
      <c r="L41" s="147" t="s">
        <v>98</v>
      </c>
      <c r="M41" s="147" t="s">
        <v>98</v>
      </c>
      <c r="N41" s="147" t="s">
        <v>98</v>
      </c>
      <c r="O41" s="147" t="s">
        <v>98</v>
      </c>
      <c r="P41" s="147" t="s">
        <v>98</v>
      </c>
      <c r="Q41" s="147" t="s">
        <v>98</v>
      </c>
      <c r="R41" s="146" t="s">
        <v>126</v>
      </c>
      <c r="S41" s="261" t="s">
        <v>61</v>
      </c>
      <c r="T41" s="261" t="s">
        <v>61</v>
      </c>
      <c r="U41" s="261" t="s">
        <v>61</v>
      </c>
      <c r="V41" s="261" t="s">
        <v>61</v>
      </c>
      <c r="W41" s="261" t="s">
        <v>61</v>
      </c>
      <c r="X41" s="261" t="s">
        <v>61</v>
      </c>
      <c r="Y41" s="261" t="s">
        <v>61</v>
      </c>
      <c r="Z41" s="261" t="s">
        <v>61</v>
      </c>
      <c r="AA41" s="261" t="s">
        <v>61</v>
      </c>
      <c r="AB41" s="261" t="s">
        <v>61</v>
      </c>
      <c r="AC41" s="261" t="s">
        <v>61</v>
      </c>
      <c r="AD41" s="261" t="s">
        <v>61</v>
      </c>
      <c r="AE41" s="261" t="s">
        <v>61</v>
      </c>
      <c r="AF41" s="261" t="s">
        <v>61</v>
      </c>
      <c r="AG41" s="261" t="s">
        <v>61</v>
      </c>
      <c r="AH41" s="261" t="s">
        <v>61</v>
      </c>
      <c r="AI41" s="261" t="s">
        <v>61</v>
      </c>
      <c r="AJ41" s="261" t="s">
        <v>61</v>
      </c>
      <c r="AK41" s="244">
        <f t="shared" si="1"/>
        <v>0</v>
      </c>
      <c r="AL41" s="244">
        <f t="shared" si="2"/>
        <v>0</v>
      </c>
      <c r="AM41" s="244">
        <f t="shared" si="3"/>
        <v>0</v>
      </c>
      <c r="AN41" s="244">
        <f t="shared" si="4"/>
        <v>0</v>
      </c>
      <c r="AO41" s="244">
        <f t="shared" si="5"/>
        <v>0</v>
      </c>
      <c r="AP41" s="244">
        <f t="shared" si="6"/>
        <v>0</v>
      </c>
      <c r="AQ41" s="244">
        <f t="shared" si="7"/>
        <v>0</v>
      </c>
      <c r="AR41" s="244">
        <f t="shared" si="8"/>
        <v>0</v>
      </c>
      <c r="AS41" s="244">
        <f t="shared" si="9"/>
        <v>0</v>
      </c>
      <c r="AT41" s="244">
        <f t="shared" si="10"/>
        <v>0</v>
      </c>
      <c r="AU41" s="244">
        <f t="shared" si="11"/>
        <v>0</v>
      </c>
      <c r="AV41" s="244">
        <f t="shared" si="12"/>
        <v>0</v>
      </c>
      <c r="AW41" s="244">
        <f t="shared" si="13"/>
        <v>0</v>
      </c>
      <c r="AX41" s="244">
        <f t="shared" si="14"/>
        <v>0</v>
      </c>
      <c r="AY41" s="244">
        <f t="shared" si="15"/>
        <v>0</v>
      </c>
      <c r="AZ41" s="244">
        <f t="shared" si="16"/>
        <v>0</v>
      </c>
      <c r="BA41" s="244">
        <f t="shared" si="17"/>
        <v>0</v>
      </c>
      <c r="BB41" s="244">
        <f t="shared" si="18"/>
        <v>0</v>
      </c>
    </row>
    <row r="42" spans="1:54" x14ac:dyDescent="0.2">
      <c r="A42" s="143">
        <v>39</v>
      </c>
      <c r="B42" s="143">
        <v>42</v>
      </c>
      <c r="C42" s="184" t="s">
        <v>154</v>
      </c>
      <c r="D42" s="144" t="s">
        <v>156</v>
      </c>
      <c r="E42" s="144" t="s">
        <v>233</v>
      </c>
      <c r="F42" s="144" t="s">
        <v>275</v>
      </c>
      <c r="G42" s="144" t="s">
        <v>326</v>
      </c>
      <c r="H42" s="144" t="s">
        <v>330</v>
      </c>
      <c r="I42" s="145">
        <v>90</v>
      </c>
      <c r="J42" s="147" t="s">
        <v>98</v>
      </c>
      <c r="K42" s="147" t="s">
        <v>98</v>
      </c>
      <c r="L42" s="147" t="s">
        <v>98</v>
      </c>
      <c r="M42" s="147" t="s">
        <v>98</v>
      </c>
      <c r="N42" s="147" t="s">
        <v>98</v>
      </c>
      <c r="O42" s="147" t="s">
        <v>98</v>
      </c>
      <c r="P42" s="147" t="s">
        <v>98</v>
      </c>
      <c r="Q42" s="147" t="s">
        <v>98</v>
      </c>
      <c r="R42" s="146" t="s">
        <v>126</v>
      </c>
      <c r="S42" s="261" t="s">
        <v>61</v>
      </c>
      <c r="T42" s="261" t="s">
        <v>61</v>
      </c>
      <c r="U42" s="261" t="s">
        <v>61</v>
      </c>
      <c r="V42" s="261" t="s">
        <v>61</v>
      </c>
      <c r="W42" s="261" t="s">
        <v>61</v>
      </c>
      <c r="X42" s="261" t="s">
        <v>61</v>
      </c>
      <c r="Y42" s="261" t="s">
        <v>61</v>
      </c>
      <c r="Z42" s="261" t="s">
        <v>61</v>
      </c>
      <c r="AA42" s="261" t="s">
        <v>61</v>
      </c>
      <c r="AB42" s="261" t="s">
        <v>61</v>
      </c>
      <c r="AC42" s="261" t="s">
        <v>61</v>
      </c>
      <c r="AD42" s="261" t="s">
        <v>61</v>
      </c>
      <c r="AE42" s="261" t="s">
        <v>61</v>
      </c>
      <c r="AF42" s="261" t="s">
        <v>61</v>
      </c>
      <c r="AG42" s="261" t="s">
        <v>61</v>
      </c>
      <c r="AH42" s="261" t="s">
        <v>61</v>
      </c>
      <c r="AI42" s="261" t="s">
        <v>61</v>
      </c>
      <c r="AJ42" s="261" t="s">
        <v>61</v>
      </c>
      <c r="AK42" s="244">
        <f t="shared" si="1"/>
        <v>0</v>
      </c>
      <c r="AL42" s="244">
        <f t="shared" si="2"/>
        <v>0</v>
      </c>
      <c r="AM42" s="244">
        <f t="shared" si="3"/>
        <v>0</v>
      </c>
      <c r="AN42" s="244">
        <f t="shared" si="4"/>
        <v>0</v>
      </c>
      <c r="AO42" s="244">
        <f t="shared" si="5"/>
        <v>0</v>
      </c>
      <c r="AP42" s="244">
        <f t="shared" si="6"/>
        <v>0</v>
      </c>
      <c r="AQ42" s="244">
        <f t="shared" si="7"/>
        <v>0</v>
      </c>
      <c r="AR42" s="244">
        <f t="shared" si="8"/>
        <v>0</v>
      </c>
      <c r="AS42" s="244">
        <f t="shared" si="9"/>
        <v>0</v>
      </c>
      <c r="AT42" s="244">
        <f t="shared" si="10"/>
        <v>0</v>
      </c>
      <c r="AU42" s="244">
        <f t="shared" si="11"/>
        <v>0</v>
      </c>
      <c r="AV42" s="244">
        <f t="shared" si="12"/>
        <v>0</v>
      </c>
      <c r="AW42" s="244">
        <f t="shared" si="13"/>
        <v>0</v>
      </c>
      <c r="AX42" s="244">
        <f t="shared" si="14"/>
        <v>0</v>
      </c>
      <c r="AY42" s="244">
        <f t="shared" si="15"/>
        <v>0</v>
      </c>
      <c r="AZ42" s="244">
        <f t="shared" si="16"/>
        <v>0</v>
      </c>
      <c r="BA42" s="244">
        <f t="shared" si="17"/>
        <v>0</v>
      </c>
      <c r="BB42" s="244">
        <f t="shared" si="18"/>
        <v>0</v>
      </c>
    </row>
    <row r="43" spans="1:54" x14ac:dyDescent="0.2">
      <c r="A43" s="143">
        <v>40</v>
      </c>
      <c r="B43" s="143">
        <v>43</v>
      </c>
      <c r="C43" s="184" t="s">
        <v>154</v>
      </c>
      <c r="D43" s="144" t="s">
        <v>156</v>
      </c>
      <c r="E43" s="144" t="s">
        <v>234</v>
      </c>
      <c r="F43" s="144" t="s">
        <v>59</v>
      </c>
      <c r="G43" s="144" t="s">
        <v>327</v>
      </c>
      <c r="H43" s="144" t="s">
        <v>330</v>
      </c>
      <c r="I43" s="145">
        <v>64</v>
      </c>
      <c r="J43" s="147" t="s">
        <v>98</v>
      </c>
      <c r="K43" s="147" t="s">
        <v>98</v>
      </c>
      <c r="L43" s="147" t="s">
        <v>98</v>
      </c>
      <c r="M43" s="147" t="s">
        <v>98</v>
      </c>
      <c r="N43" s="147" t="s">
        <v>98</v>
      </c>
      <c r="O43" s="147" t="s">
        <v>98</v>
      </c>
      <c r="P43" s="147" t="s">
        <v>98</v>
      </c>
      <c r="Q43" s="147" t="s">
        <v>98</v>
      </c>
      <c r="R43" s="146" t="s">
        <v>126</v>
      </c>
      <c r="S43" s="261" t="s">
        <v>61</v>
      </c>
      <c r="T43" s="261" t="s">
        <v>61</v>
      </c>
      <c r="U43" s="261" t="s">
        <v>61</v>
      </c>
      <c r="V43" s="261" t="s">
        <v>61</v>
      </c>
      <c r="W43" s="261" t="s">
        <v>61</v>
      </c>
      <c r="X43" s="261" t="s">
        <v>61</v>
      </c>
      <c r="Y43" s="261" t="s">
        <v>61</v>
      </c>
      <c r="Z43" s="261" t="s">
        <v>61</v>
      </c>
      <c r="AA43" s="261" t="s">
        <v>61</v>
      </c>
      <c r="AB43" s="261" t="s">
        <v>61</v>
      </c>
      <c r="AC43" s="261" t="s">
        <v>61</v>
      </c>
      <c r="AD43" s="261" t="s">
        <v>61</v>
      </c>
      <c r="AE43" s="261" t="s">
        <v>61</v>
      </c>
      <c r="AF43" s="261" t="s">
        <v>61</v>
      </c>
      <c r="AG43" s="261" t="s">
        <v>61</v>
      </c>
      <c r="AH43" s="261" t="s">
        <v>61</v>
      </c>
      <c r="AI43" s="261" t="s">
        <v>61</v>
      </c>
      <c r="AJ43" s="261" t="s">
        <v>61</v>
      </c>
      <c r="AK43" s="244">
        <f t="shared" si="1"/>
        <v>0</v>
      </c>
      <c r="AL43" s="244">
        <f t="shared" si="2"/>
        <v>0</v>
      </c>
      <c r="AM43" s="244">
        <f t="shared" si="3"/>
        <v>0</v>
      </c>
      <c r="AN43" s="244">
        <f t="shared" si="4"/>
        <v>0</v>
      </c>
      <c r="AO43" s="244">
        <f t="shared" si="5"/>
        <v>0</v>
      </c>
      <c r="AP43" s="244">
        <f t="shared" si="6"/>
        <v>0</v>
      </c>
      <c r="AQ43" s="244">
        <f t="shared" si="7"/>
        <v>0</v>
      </c>
      <c r="AR43" s="244">
        <f t="shared" si="8"/>
        <v>0</v>
      </c>
      <c r="AS43" s="244">
        <f t="shared" si="9"/>
        <v>0</v>
      </c>
      <c r="AT43" s="244">
        <f t="shared" si="10"/>
        <v>0</v>
      </c>
      <c r="AU43" s="244">
        <f t="shared" si="11"/>
        <v>0</v>
      </c>
      <c r="AV43" s="244">
        <f t="shared" si="12"/>
        <v>0</v>
      </c>
      <c r="AW43" s="244">
        <f t="shared" si="13"/>
        <v>0</v>
      </c>
      <c r="AX43" s="244">
        <f t="shared" si="14"/>
        <v>0</v>
      </c>
      <c r="AY43" s="244">
        <f t="shared" si="15"/>
        <v>0</v>
      </c>
      <c r="AZ43" s="244">
        <f t="shared" si="16"/>
        <v>0</v>
      </c>
      <c r="BA43" s="244">
        <f t="shared" si="17"/>
        <v>0</v>
      </c>
      <c r="BB43" s="244">
        <f t="shared" si="18"/>
        <v>0</v>
      </c>
    </row>
    <row r="44" spans="1:54" x14ac:dyDescent="0.2">
      <c r="A44" s="143">
        <v>41</v>
      </c>
      <c r="B44" s="143">
        <v>456</v>
      </c>
      <c r="C44" s="184" t="s">
        <v>154</v>
      </c>
      <c r="D44" s="144" t="s">
        <v>194</v>
      </c>
      <c r="E44" s="144" t="s">
        <v>273</v>
      </c>
      <c r="F44" s="144" t="s">
        <v>279</v>
      </c>
      <c r="G44" s="144" t="s">
        <v>299</v>
      </c>
      <c r="H44" s="144" t="s">
        <v>330</v>
      </c>
      <c r="I44" s="145">
        <v>60</v>
      </c>
      <c r="J44" s="147" t="s">
        <v>98</v>
      </c>
      <c r="K44" s="147" t="s">
        <v>98</v>
      </c>
      <c r="L44" s="147" t="s">
        <v>98</v>
      </c>
      <c r="M44" s="147" t="s">
        <v>98</v>
      </c>
      <c r="N44" s="147" t="s">
        <v>98</v>
      </c>
      <c r="O44" s="147" t="s">
        <v>98</v>
      </c>
      <c r="P44" s="147" t="s">
        <v>98</v>
      </c>
      <c r="Q44" s="147" t="s">
        <v>98</v>
      </c>
      <c r="R44" s="146" t="s">
        <v>126</v>
      </c>
      <c r="S44" s="261" t="s">
        <v>61</v>
      </c>
      <c r="T44" s="261" t="s">
        <v>61</v>
      </c>
      <c r="U44" s="261" t="s">
        <v>61</v>
      </c>
      <c r="V44" s="261" t="s">
        <v>61</v>
      </c>
      <c r="W44" s="261" t="s">
        <v>61</v>
      </c>
      <c r="X44" s="261" t="s">
        <v>61</v>
      </c>
      <c r="Y44" s="261" t="s">
        <v>61</v>
      </c>
      <c r="Z44" s="261" t="s">
        <v>61</v>
      </c>
      <c r="AA44" s="261" t="s">
        <v>61</v>
      </c>
      <c r="AB44" s="261" t="s">
        <v>61</v>
      </c>
      <c r="AC44" s="261" t="s">
        <v>61</v>
      </c>
      <c r="AD44" s="261" t="s">
        <v>61</v>
      </c>
      <c r="AE44" s="261" t="s">
        <v>61</v>
      </c>
      <c r="AF44" s="261" t="s">
        <v>61</v>
      </c>
      <c r="AG44" s="261" t="s">
        <v>61</v>
      </c>
      <c r="AH44" s="261" t="s">
        <v>61</v>
      </c>
      <c r="AI44" s="261" t="s">
        <v>61</v>
      </c>
      <c r="AJ44" s="261" t="s">
        <v>61</v>
      </c>
      <c r="AK44" s="244">
        <f t="shared" si="1"/>
        <v>0</v>
      </c>
      <c r="AL44" s="244">
        <f t="shared" si="2"/>
        <v>0</v>
      </c>
      <c r="AM44" s="244">
        <f t="shared" si="3"/>
        <v>0</v>
      </c>
      <c r="AN44" s="244">
        <f t="shared" si="4"/>
        <v>0</v>
      </c>
      <c r="AO44" s="244">
        <f t="shared" si="5"/>
        <v>0</v>
      </c>
      <c r="AP44" s="244">
        <f t="shared" si="6"/>
        <v>0</v>
      </c>
      <c r="AQ44" s="244">
        <f t="shared" si="7"/>
        <v>0</v>
      </c>
      <c r="AR44" s="244">
        <f t="shared" si="8"/>
        <v>0</v>
      </c>
      <c r="AS44" s="244">
        <f t="shared" si="9"/>
        <v>0</v>
      </c>
      <c r="AT44" s="244">
        <f t="shared" si="10"/>
        <v>0</v>
      </c>
      <c r="AU44" s="244">
        <f t="shared" si="11"/>
        <v>0</v>
      </c>
      <c r="AV44" s="244">
        <f t="shared" si="12"/>
        <v>0</v>
      </c>
      <c r="AW44" s="244">
        <f t="shared" si="13"/>
        <v>0</v>
      </c>
      <c r="AX44" s="244">
        <f t="shared" si="14"/>
        <v>0</v>
      </c>
      <c r="AY44" s="244">
        <f t="shared" si="15"/>
        <v>0</v>
      </c>
      <c r="AZ44" s="244">
        <f t="shared" si="16"/>
        <v>0</v>
      </c>
      <c r="BA44" s="244">
        <f t="shared" si="17"/>
        <v>0</v>
      </c>
      <c r="BB44" s="244">
        <f t="shared" si="18"/>
        <v>0</v>
      </c>
    </row>
    <row r="45" spans="1:54" x14ac:dyDescent="0.2">
      <c r="A45" s="143">
        <v>42</v>
      </c>
      <c r="B45" s="143">
        <v>566</v>
      </c>
      <c r="C45" s="184" t="s">
        <v>154</v>
      </c>
      <c r="D45" s="144" t="s">
        <v>158</v>
      </c>
      <c r="E45" s="144" t="s">
        <v>231</v>
      </c>
      <c r="F45" s="144" t="s">
        <v>85</v>
      </c>
      <c r="G45" s="144" t="s">
        <v>320</v>
      </c>
      <c r="H45" s="144" t="s">
        <v>330</v>
      </c>
      <c r="I45" s="145">
        <v>60</v>
      </c>
      <c r="J45" s="147" t="s">
        <v>98</v>
      </c>
      <c r="K45" s="147" t="s">
        <v>98</v>
      </c>
      <c r="L45" s="147" t="s">
        <v>98</v>
      </c>
      <c r="M45" s="147" t="s">
        <v>98</v>
      </c>
      <c r="N45" s="147" t="s">
        <v>98</v>
      </c>
      <c r="O45" s="147" t="s">
        <v>98</v>
      </c>
      <c r="P45" s="147" t="s">
        <v>98</v>
      </c>
      <c r="Q45" s="147" t="s">
        <v>98</v>
      </c>
      <c r="R45" s="146" t="s">
        <v>126</v>
      </c>
      <c r="S45" s="261" t="s">
        <v>61</v>
      </c>
      <c r="T45" s="261" t="s">
        <v>61</v>
      </c>
      <c r="U45" s="261" t="s">
        <v>61</v>
      </c>
      <c r="V45" s="261" t="s">
        <v>61</v>
      </c>
      <c r="W45" s="261" t="s">
        <v>61</v>
      </c>
      <c r="X45" s="261" t="s">
        <v>61</v>
      </c>
      <c r="Y45" s="261" t="s">
        <v>61</v>
      </c>
      <c r="Z45" s="261" t="s">
        <v>61</v>
      </c>
      <c r="AA45" s="261" t="s">
        <v>61</v>
      </c>
      <c r="AB45" s="261" t="s">
        <v>61</v>
      </c>
      <c r="AC45" s="261" t="s">
        <v>61</v>
      </c>
      <c r="AD45" s="261" t="s">
        <v>61</v>
      </c>
      <c r="AE45" s="261" t="s">
        <v>61</v>
      </c>
      <c r="AF45" s="261" t="s">
        <v>61</v>
      </c>
      <c r="AG45" s="261" t="s">
        <v>61</v>
      </c>
      <c r="AH45" s="261" t="s">
        <v>61</v>
      </c>
      <c r="AI45" s="261" t="s">
        <v>61</v>
      </c>
      <c r="AJ45" s="261" t="s">
        <v>61</v>
      </c>
      <c r="AK45" s="244">
        <f t="shared" si="1"/>
        <v>0</v>
      </c>
      <c r="AL45" s="244">
        <f t="shared" si="2"/>
        <v>0</v>
      </c>
      <c r="AM45" s="244">
        <f t="shared" si="3"/>
        <v>0</v>
      </c>
      <c r="AN45" s="244">
        <f t="shared" si="4"/>
        <v>0</v>
      </c>
      <c r="AO45" s="244">
        <f t="shared" si="5"/>
        <v>0</v>
      </c>
      <c r="AP45" s="244">
        <f t="shared" si="6"/>
        <v>0</v>
      </c>
      <c r="AQ45" s="244">
        <f t="shared" si="7"/>
        <v>0</v>
      </c>
      <c r="AR45" s="244">
        <f t="shared" si="8"/>
        <v>0</v>
      </c>
      <c r="AS45" s="244">
        <f t="shared" si="9"/>
        <v>0</v>
      </c>
      <c r="AT45" s="244">
        <f t="shared" si="10"/>
        <v>0</v>
      </c>
      <c r="AU45" s="244">
        <f t="shared" si="11"/>
        <v>0</v>
      </c>
      <c r="AV45" s="244">
        <f t="shared" si="12"/>
        <v>0</v>
      </c>
      <c r="AW45" s="244">
        <f t="shared" si="13"/>
        <v>0</v>
      </c>
      <c r="AX45" s="244">
        <f t="shared" si="14"/>
        <v>0</v>
      </c>
      <c r="AY45" s="244">
        <f t="shared" si="15"/>
        <v>0</v>
      </c>
      <c r="AZ45" s="244">
        <f t="shared" si="16"/>
        <v>0</v>
      </c>
      <c r="BA45" s="244">
        <f t="shared" si="17"/>
        <v>0</v>
      </c>
      <c r="BB45" s="244">
        <f t="shared" si="18"/>
        <v>0</v>
      </c>
    </row>
    <row r="46" spans="1:54" x14ac:dyDescent="0.2">
      <c r="A46" s="143">
        <v>43</v>
      </c>
      <c r="B46" s="143">
        <v>518</v>
      </c>
      <c r="C46" s="184" t="s">
        <v>154</v>
      </c>
      <c r="D46" s="144" t="s">
        <v>157</v>
      </c>
      <c r="E46" s="144" t="s">
        <v>244</v>
      </c>
      <c r="F46" s="144" t="s">
        <v>85</v>
      </c>
      <c r="G46" s="144" t="s">
        <v>324</v>
      </c>
      <c r="H46" s="144" t="s">
        <v>330</v>
      </c>
      <c r="I46" s="145">
        <v>226</v>
      </c>
      <c r="J46" s="147" t="s">
        <v>98</v>
      </c>
      <c r="K46" s="147" t="s">
        <v>98</v>
      </c>
      <c r="L46" s="147" t="s">
        <v>98</v>
      </c>
      <c r="M46" s="147" t="s">
        <v>98</v>
      </c>
      <c r="N46" s="147" t="s">
        <v>98</v>
      </c>
      <c r="O46" s="147" t="s">
        <v>98</v>
      </c>
      <c r="P46" s="147" t="s">
        <v>98</v>
      </c>
      <c r="Q46" s="147" t="s">
        <v>98</v>
      </c>
      <c r="R46" s="146" t="s">
        <v>126</v>
      </c>
      <c r="S46" s="261" t="s">
        <v>61</v>
      </c>
      <c r="T46" s="261" t="s">
        <v>61</v>
      </c>
      <c r="U46" s="261" t="s">
        <v>61</v>
      </c>
      <c r="V46" s="261" t="s">
        <v>61</v>
      </c>
      <c r="W46" s="261" t="s">
        <v>61</v>
      </c>
      <c r="X46" s="261" t="s">
        <v>61</v>
      </c>
      <c r="Y46" s="261" t="s">
        <v>61</v>
      </c>
      <c r="Z46" s="261" t="s">
        <v>61</v>
      </c>
      <c r="AA46" s="261" t="s">
        <v>61</v>
      </c>
      <c r="AB46" s="261" t="s">
        <v>61</v>
      </c>
      <c r="AC46" s="261" t="s">
        <v>61</v>
      </c>
      <c r="AD46" s="261" t="s">
        <v>61</v>
      </c>
      <c r="AE46" s="261" t="s">
        <v>61</v>
      </c>
      <c r="AF46" s="261" t="s">
        <v>61</v>
      </c>
      <c r="AG46" s="261" t="s">
        <v>61</v>
      </c>
      <c r="AH46" s="261" t="s">
        <v>61</v>
      </c>
      <c r="AI46" s="261" t="s">
        <v>61</v>
      </c>
      <c r="AJ46" s="261" t="s">
        <v>61</v>
      </c>
      <c r="AK46" s="244">
        <f t="shared" si="1"/>
        <v>0</v>
      </c>
      <c r="AL46" s="244">
        <f t="shared" si="2"/>
        <v>0</v>
      </c>
      <c r="AM46" s="244">
        <f t="shared" si="3"/>
        <v>0</v>
      </c>
      <c r="AN46" s="244">
        <f t="shared" si="4"/>
        <v>0</v>
      </c>
      <c r="AO46" s="244">
        <f t="shared" si="5"/>
        <v>0</v>
      </c>
      <c r="AP46" s="244">
        <f t="shared" si="6"/>
        <v>0</v>
      </c>
      <c r="AQ46" s="244">
        <f t="shared" si="7"/>
        <v>0</v>
      </c>
      <c r="AR46" s="244">
        <f t="shared" si="8"/>
        <v>0</v>
      </c>
      <c r="AS46" s="244">
        <f t="shared" si="9"/>
        <v>0</v>
      </c>
      <c r="AT46" s="244">
        <f t="shared" si="10"/>
        <v>0</v>
      </c>
      <c r="AU46" s="244">
        <f t="shared" si="11"/>
        <v>0</v>
      </c>
      <c r="AV46" s="244">
        <f t="shared" si="12"/>
        <v>0</v>
      </c>
      <c r="AW46" s="244">
        <f t="shared" si="13"/>
        <v>0</v>
      </c>
      <c r="AX46" s="244">
        <f t="shared" si="14"/>
        <v>0</v>
      </c>
      <c r="AY46" s="244">
        <f t="shared" si="15"/>
        <v>0</v>
      </c>
      <c r="AZ46" s="244">
        <f t="shared" si="16"/>
        <v>0</v>
      </c>
      <c r="BA46" s="244">
        <f t="shared" si="17"/>
        <v>0</v>
      </c>
      <c r="BB46" s="244">
        <f t="shared" si="18"/>
        <v>0</v>
      </c>
    </row>
    <row r="47" spans="1:54" x14ac:dyDescent="0.2">
      <c r="A47" s="143">
        <v>44</v>
      </c>
      <c r="B47" s="143">
        <v>370</v>
      </c>
      <c r="C47" s="184" t="s">
        <v>155</v>
      </c>
      <c r="D47" s="144" t="s">
        <v>177</v>
      </c>
      <c r="E47" s="144" t="s">
        <v>220</v>
      </c>
      <c r="F47" s="144" t="s">
        <v>64</v>
      </c>
      <c r="G47" s="144" t="s">
        <v>313</v>
      </c>
      <c r="H47" s="144" t="s">
        <v>330</v>
      </c>
      <c r="I47" s="145">
        <v>102.11</v>
      </c>
      <c r="J47" s="147" t="s">
        <v>98</v>
      </c>
      <c r="K47" s="147" t="s">
        <v>98</v>
      </c>
      <c r="L47" s="147" t="s">
        <v>98</v>
      </c>
      <c r="M47" s="147" t="s">
        <v>98</v>
      </c>
      <c r="N47" s="147" t="s">
        <v>98</v>
      </c>
      <c r="O47" s="147" t="s">
        <v>98</v>
      </c>
      <c r="P47" s="147" t="s">
        <v>98</v>
      </c>
      <c r="Q47" s="147" t="s">
        <v>98</v>
      </c>
      <c r="R47" s="146" t="s">
        <v>126</v>
      </c>
      <c r="S47" s="261" t="s">
        <v>61</v>
      </c>
      <c r="T47" s="261" t="s">
        <v>61</v>
      </c>
      <c r="U47" s="261" t="s">
        <v>61</v>
      </c>
      <c r="V47" s="261" t="s">
        <v>61</v>
      </c>
      <c r="W47" s="261" t="s">
        <v>61</v>
      </c>
      <c r="X47" s="261" t="s">
        <v>61</v>
      </c>
      <c r="Y47" s="261" t="s">
        <v>61</v>
      </c>
      <c r="Z47" s="261" t="s">
        <v>61</v>
      </c>
      <c r="AA47" s="261" t="s">
        <v>61</v>
      </c>
      <c r="AB47" s="261" t="s">
        <v>61</v>
      </c>
      <c r="AC47" s="261" t="s">
        <v>61</v>
      </c>
      <c r="AD47" s="261" t="s">
        <v>61</v>
      </c>
      <c r="AE47" s="261" t="s">
        <v>61</v>
      </c>
      <c r="AF47" s="261" t="s">
        <v>61</v>
      </c>
      <c r="AG47" s="261" t="s">
        <v>61</v>
      </c>
      <c r="AH47" s="261" t="s">
        <v>61</v>
      </c>
      <c r="AI47" s="261" t="s">
        <v>61</v>
      </c>
      <c r="AJ47" s="261" t="s">
        <v>61</v>
      </c>
      <c r="AK47" s="244">
        <f t="shared" si="1"/>
        <v>0</v>
      </c>
      <c r="AL47" s="244">
        <f t="shared" si="2"/>
        <v>0</v>
      </c>
      <c r="AM47" s="244">
        <f t="shared" si="3"/>
        <v>0</v>
      </c>
      <c r="AN47" s="244">
        <f t="shared" si="4"/>
        <v>0</v>
      </c>
      <c r="AO47" s="244">
        <f t="shared" si="5"/>
        <v>0</v>
      </c>
      <c r="AP47" s="244">
        <f t="shared" si="6"/>
        <v>0</v>
      </c>
      <c r="AQ47" s="244">
        <f t="shared" si="7"/>
        <v>0</v>
      </c>
      <c r="AR47" s="244">
        <f t="shared" si="8"/>
        <v>0</v>
      </c>
      <c r="AS47" s="244">
        <f t="shared" si="9"/>
        <v>0</v>
      </c>
      <c r="AT47" s="244">
        <f t="shared" si="10"/>
        <v>0</v>
      </c>
      <c r="AU47" s="244">
        <f t="shared" si="11"/>
        <v>0</v>
      </c>
      <c r="AV47" s="244">
        <f t="shared" si="12"/>
        <v>0</v>
      </c>
      <c r="AW47" s="244">
        <f t="shared" si="13"/>
        <v>0</v>
      </c>
      <c r="AX47" s="244">
        <f t="shared" si="14"/>
        <v>0</v>
      </c>
      <c r="AY47" s="244">
        <f t="shared" si="15"/>
        <v>0</v>
      </c>
      <c r="AZ47" s="244">
        <f t="shared" si="16"/>
        <v>0</v>
      </c>
      <c r="BA47" s="244">
        <f t="shared" si="17"/>
        <v>0</v>
      </c>
      <c r="BB47" s="244">
        <f t="shared" si="18"/>
        <v>0</v>
      </c>
    </row>
    <row r="48" spans="1:54" x14ac:dyDescent="0.2">
      <c r="A48" s="143">
        <v>45</v>
      </c>
      <c r="B48" s="143">
        <v>47</v>
      </c>
      <c r="C48" s="184" t="s">
        <v>155</v>
      </c>
      <c r="D48" s="144" t="s">
        <v>203</v>
      </c>
      <c r="E48" s="144" t="s">
        <v>211</v>
      </c>
      <c r="F48" s="144" t="s">
        <v>274</v>
      </c>
      <c r="G48" s="144" t="s">
        <v>306</v>
      </c>
      <c r="H48" s="144" t="s">
        <v>330</v>
      </c>
      <c r="I48" s="145">
        <v>250</v>
      </c>
      <c r="J48" s="147" t="s">
        <v>98</v>
      </c>
      <c r="K48" s="147" t="s">
        <v>98</v>
      </c>
      <c r="L48" s="147" t="s">
        <v>98</v>
      </c>
      <c r="M48" s="147" t="s">
        <v>98</v>
      </c>
      <c r="N48" s="147" t="s">
        <v>98</v>
      </c>
      <c r="O48" s="147" t="s">
        <v>98</v>
      </c>
      <c r="P48" s="147" t="s">
        <v>98</v>
      </c>
      <c r="Q48" s="147" t="s">
        <v>98</v>
      </c>
      <c r="R48" s="146" t="s">
        <v>126</v>
      </c>
      <c r="S48" s="261" t="s">
        <v>61</v>
      </c>
      <c r="T48" s="261" t="s">
        <v>61</v>
      </c>
      <c r="U48" s="261" t="s">
        <v>61</v>
      </c>
      <c r="V48" s="261" t="s">
        <v>61</v>
      </c>
      <c r="W48" s="261" t="s">
        <v>61</v>
      </c>
      <c r="X48" s="261" t="s">
        <v>61</v>
      </c>
      <c r="Y48" s="261" t="s">
        <v>61</v>
      </c>
      <c r="Z48" s="261" t="s">
        <v>61</v>
      </c>
      <c r="AA48" s="261" t="s">
        <v>61</v>
      </c>
      <c r="AB48" s="261" t="s">
        <v>61</v>
      </c>
      <c r="AC48" s="261" t="s">
        <v>61</v>
      </c>
      <c r="AD48" s="261" t="s">
        <v>61</v>
      </c>
      <c r="AE48" s="261" t="s">
        <v>61</v>
      </c>
      <c r="AF48" s="261" t="s">
        <v>61</v>
      </c>
      <c r="AG48" s="261" t="s">
        <v>61</v>
      </c>
      <c r="AH48" s="261" t="s">
        <v>61</v>
      </c>
      <c r="AI48" s="261" t="s">
        <v>61</v>
      </c>
      <c r="AJ48" s="261" t="s">
        <v>61</v>
      </c>
      <c r="AK48" s="244">
        <f t="shared" si="1"/>
        <v>0</v>
      </c>
      <c r="AL48" s="244">
        <f t="shared" si="2"/>
        <v>0</v>
      </c>
      <c r="AM48" s="244">
        <f t="shared" si="3"/>
        <v>0</v>
      </c>
      <c r="AN48" s="244">
        <f t="shared" si="4"/>
        <v>0</v>
      </c>
      <c r="AO48" s="244">
        <f t="shared" si="5"/>
        <v>0</v>
      </c>
      <c r="AP48" s="244">
        <f t="shared" si="6"/>
        <v>0</v>
      </c>
      <c r="AQ48" s="244">
        <f t="shared" si="7"/>
        <v>0</v>
      </c>
      <c r="AR48" s="244">
        <f t="shared" si="8"/>
        <v>0</v>
      </c>
      <c r="AS48" s="244">
        <f t="shared" si="9"/>
        <v>0</v>
      </c>
      <c r="AT48" s="244">
        <f t="shared" si="10"/>
        <v>0</v>
      </c>
      <c r="AU48" s="244">
        <f t="shared" si="11"/>
        <v>0</v>
      </c>
      <c r="AV48" s="244">
        <f t="shared" si="12"/>
        <v>0</v>
      </c>
      <c r="AW48" s="244">
        <f t="shared" si="13"/>
        <v>0</v>
      </c>
      <c r="AX48" s="244">
        <f t="shared" si="14"/>
        <v>0</v>
      </c>
      <c r="AY48" s="244">
        <f t="shared" si="15"/>
        <v>0</v>
      </c>
      <c r="AZ48" s="244">
        <f t="shared" si="16"/>
        <v>0</v>
      </c>
      <c r="BA48" s="244">
        <f t="shared" si="17"/>
        <v>0</v>
      </c>
      <c r="BB48" s="244">
        <f t="shared" si="18"/>
        <v>0</v>
      </c>
    </row>
    <row r="49" spans="1:54" x14ac:dyDescent="0.2">
      <c r="A49" s="143">
        <v>46</v>
      </c>
      <c r="B49" s="143">
        <v>522</v>
      </c>
      <c r="C49" s="184" t="s">
        <v>155</v>
      </c>
      <c r="D49" s="144" t="s">
        <v>178</v>
      </c>
      <c r="E49" s="144" t="s">
        <v>245</v>
      </c>
      <c r="F49" s="144" t="s">
        <v>64</v>
      </c>
      <c r="G49" s="144" t="s">
        <v>313</v>
      </c>
      <c r="H49" s="144" t="s">
        <v>330</v>
      </c>
      <c r="I49" s="145">
        <v>74.7</v>
      </c>
      <c r="J49" s="147" t="s">
        <v>98</v>
      </c>
      <c r="K49" s="147" t="s">
        <v>98</v>
      </c>
      <c r="L49" s="147" t="s">
        <v>98</v>
      </c>
      <c r="M49" s="147" t="s">
        <v>98</v>
      </c>
      <c r="N49" s="147" t="s">
        <v>98</v>
      </c>
      <c r="O49" s="147" t="s">
        <v>98</v>
      </c>
      <c r="P49" s="147" t="s">
        <v>98</v>
      </c>
      <c r="Q49" s="147" t="s">
        <v>98</v>
      </c>
      <c r="R49" s="146" t="s">
        <v>126</v>
      </c>
      <c r="S49" s="261" t="s">
        <v>61</v>
      </c>
      <c r="T49" s="261" t="s">
        <v>61</v>
      </c>
      <c r="U49" s="261" t="s">
        <v>61</v>
      </c>
      <c r="V49" s="261" t="s">
        <v>61</v>
      </c>
      <c r="W49" s="261" t="s">
        <v>61</v>
      </c>
      <c r="X49" s="261" t="s">
        <v>61</v>
      </c>
      <c r="Y49" s="261" t="s">
        <v>61</v>
      </c>
      <c r="Z49" s="261" t="s">
        <v>61</v>
      </c>
      <c r="AA49" s="261" t="s">
        <v>61</v>
      </c>
      <c r="AB49" s="261" t="s">
        <v>61</v>
      </c>
      <c r="AC49" s="261" t="s">
        <v>61</v>
      </c>
      <c r="AD49" s="261" t="s">
        <v>61</v>
      </c>
      <c r="AE49" s="261" t="s">
        <v>61</v>
      </c>
      <c r="AF49" s="261" t="s">
        <v>61</v>
      </c>
      <c r="AG49" s="261" t="s">
        <v>61</v>
      </c>
      <c r="AH49" s="261" t="s">
        <v>61</v>
      </c>
      <c r="AI49" s="261" t="s">
        <v>61</v>
      </c>
      <c r="AJ49" s="261" t="s">
        <v>61</v>
      </c>
      <c r="AK49" s="244">
        <f t="shared" si="1"/>
        <v>0</v>
      </c>
      <c r="AL49" s="244">
        <f t="shared" si="2"/>
        <v>0</v>
      </c>
      <c r="AM49" s="244">
        <f t="shared" si="3"/>
        <v>0</v>
      </c>
      <c r="AN49" s="244">
        <f t="shared" si="4"/>
        <v>0</v>
      </c>
      <c r="AO49" s="244">
        <f t="shared" si="5"/>
        <v>0</v>
      </c>
      <c r="AP49" s="244">
        <f t="shared" si="6"/>
        <v>0</v>
      </c>
      <c r="AQ49" s="244">
        <f t="shared" si="7"/>
        <v>0</v>
      </c>
      <c r="AR49" s="244">
        <f t="shared" si="8"/>
        <v>0</v>
      </c>
      <c r="AS49" s="244">
        <f t="shared" si="9"/>
        <v>0</v>
      </c>
      <c r="AT49" s="244">
        <f t="shared" si="10"/>
        <v>0</v>
      </c>
      <c r="AU49" s="244">
        <f t="shared" si="11"/>
        <v>0</v>
      </c>
      <c r="AV49" s="244">
        <f t="shared" si="12"/>
        <v>0</v>
      </c>
      <c r="AW49" s="244">
        <f t="shared" si="13"/>
        <v>0</v>
      </c>
      <c r="AX49" s="244">
        <f t="shared" si="14"/>
        <v>0</v>
      </c>
      <c r="AY49" s="244">
        <f t="shared" si="15"/>
        <v>0</v>
      </c>
      <c r="AZ49" s="244">
        <f t="shared" si="16"/>
        <v>0</v>
      </c>
      <c r="BA49" s="244">
        <f t="shared" si="17"/>
        <v>0</v>
      </c>
      <c r="BB49" s="244">
        <f t="shared" si="18"/>
        <v>0</v>
      </c>
    </row>
    <row r="50" spans="1:54" x14ac:dyDescent="0.2">
      <c r="A50" s="143">
        <v>47</v>
      </c>
      <c r="B50" s="143">
        <v>276</v>
      </c>
      <c r="C50" s="184" t="s">
        <v>155</v>
      </c>
      <c r="D50" s="144" t="s">
        <v>184</v>
      </c>
      <c r="E50" s="144" t="s">
        <v>249</v>
      </c>
      <c r="F50" s="144" t="s">
        <v>274</v>
      </c>
      <c r="G50" s="144" t="s">
        <v>309</v>
      </c>
      <c r="H50" s="144" t="s">
        <v>331</v>
      </c>
      <c r="I50" s="145">
        <v>102</v>
      </c>
      <c r="J50" s="147" t="s">
        <v>98</v>
      </c>
      <c r="K50" s="147" t="s">
        <v>98</v>
      </c>
      <c r="L50" s="147" t="s">
        <v>98</v>
      </c>
      <c r="M50" s="147" t="s">
        <v>98</v>
      </c>
      <c r="N50" s="147" t="s">
        <v>98</v>
      </c>
      <c r="O50" s="147" t="s">
        <v>98</v>
      </c>
      <c r="P50" s="147" t="s">
        <v>98</v>
      </c>
      <c r="Q50" s="147" t="s">
        <v>98</v>
      </c>
      <c r="R50" s="146" t="s">
        <v>126</v>
      </c>
      <c r="S50" s="261" t="s">
        <v>61</v>
      </c>
      <c r="T50" s="261" t="s">
        <v>61</v>
      </c>
      <c r="U50" s="261" t="s">
        <v>61</v>
      </c>
      <c r="V50" s="261" t="s">
        <v>61</v>
      </c>
      <c r="W50" s="261" t="s">
        <v>61</v>
      </c>
      <c r="X50" s="261" t="s">
        <v>61</v>
      </c>
      <c r="Y50" s="261" t="s">
        <v>61</v>
      </c>
      <c r="Z50" s="261" t="s">
        <v>61</v>
      </c>
      <c r="AA50" s="261" t="s">
        <v>61</v>
      </c>
      <c r="AB50" s="261" t="s">
        <v>61</v>
      </c>
      <c r="AC50" s="261" t="s">
        <v>61</v>
      </c>
      <c r="AD50" s="261" t="s">
        <v>61</v>
      </c>
      <c r="AE50" s="261" t="s">
        <v>61</v>
      </c>
      <c r="AF50" s="261" t="s">
        <v>61</v>
      </c>
      <c r="AG50" s="261" t="s">
        <v>61</v>
      </c>
      <c r="AH50" s="261" t="s">
        <v>61</v>
      </c>
      <c r="AI50" s="261" t="s">
        <v>61</v>
      </c>
      <c r="AJ50" s="261" t="s">
        <v>61</v>
      </c>
      <c r="AK50" s="244">
        <f t="shared" si="1"/>
        <v>0</v>
      </c>
      <c r="AL50" s="244">
        <f t="shared" si="2"/>
        <v>0</v>
      </c>
      <c r="AM50" s="244">
        <f t="shared" si="3"/>
        <v>0</v>
      </c>
      <c r="AN50" s="244">
        <f t="shared" si="4"/>
        <v>0</v>
      </c>
      <c r="AO50" s="244">
        <f t="shared" si="5"/>
        <v>0</v>
      </c>
      <c r="AP50" s="244">
        <f t="shared" si="6"/>
        <v>0</v>
      </c>
      <c r="AQ50" s="244">
        <f t="shared" si="7"/>
        <v>0</v>
      </c>
      <c r="AR50" s="244">
        <f t="shared" si="8"/>
        <v>0</v>
      </c>
      <c r="AS50" s="244">
        <f t="shared" si="9"/>
        <v>0</v>
      </c>
      <c r="AT50" s="244">
        <f t="shared" si="10"/>
        <v>0</v>
      </c>
      <c r="AU50" s="244">
        <f t="shared" si="11"/>
        <v>0</v>
      </c>
      <c r="AV50" s="244">
        <f t="shared" si="12"/>
        <v>0</v>
      </c>
      <c r="AW50" s="244">
        <f t="shared" si="13"/>
        <v>0</v>
      </c>
      <c r="AX50" s="244">
        <f t="shared" si="14"/>
        <v>0</v>
      </c>
      <c r="AY50" s="244">
        <f t="shared" si="15"/>
        <v>0</v>
      </c>
      <c r="AZ50" s="244">
        <f t="shared" si="16"/>
        <v>0</v>
      </c>
      <c r="BA50" s="244">
        <f t="shared" si="17"/>
        <v>0</v>
      </c>
      <c r="BB50" s="244">
        <f t="shared" si="18"/>
        <v>0</v>
      </c>
    </row>
    <row r="51" spans="1:54" x14ac:dyDescent="0.2">
      <c r="A51" s="143">
        <v>48</v>
      </c>
      <c r="B51" s="143">
        <v>581</v>
      </c>
      <c r="C51" s="184" t="s">
        <v>155</v>
      </c>
      <c r="D51" s="144" t="s">
        <v>195</v>
      </c>
      <c r="E51" s="144" t="s">
        <v>272</v>
      </c>
      <c r="F51" s="144" t="s">
        <v>278</v>
      </c>
      <c r="G51" s="144" t="s">
        <v>287</v>
      </c>
      <c r="H51" s="144" t="s">
        <v>330</v>
      </c>
      <c r="I51" s="145">
        <v>150</v>
      </c>
      <c r="J51" s="147" t="s">
        <v>98</v>
      </c>
      <c r="K51" s="147" t="s">
        <v>98</v>
      </c>
      <c r="L51" s="147" t="s">
        <v>98</v>
      </c>
      <c r="M51" s="147" t="s">
        <v>98</v>
      </c>
      <c r="N51" s="147" t="s">
        <v>98</v>
      </c>
      <c r="O51" s="147" t="s">
        <v>98</v>
      </c>
      <c r="P51" s="147" t="s">
        <v>98</v>
      </c>
      <c r="Q51" s="147" t="s">
        <v>98</v>
      </c>
      <c r="R51" s="146" t="s">
        <v>126</v>
      </c>
      <c r="S51" s="261" t="s">
        <v>61</v>
      </c>
      <c r="T51" s="261" t="s">
        <v>61</v>
      </c>
      <c r="U51" s="261" t="s">
        <v>61</v>
      </c>
      <c r="V51" s="261" t="s">
        <v>61</v>
      </c>
      <c r="W51" s="261" t="s">
        <v>61</v>
      </c>
      <c r="X51" s="261" t="s">
        <v>61</v>
      </c>
      <c r="Y51" s="261" t="s">
        <v>61</v>
      </c>
      <c r="Z51" s="261" t="s">
        <v>61</v>
      </c>
      <c r="AA51" s="261" t="s">
        <v>61</v>
      </c>
      <c r="AB51" s="261" t="s">
        <v>61</v>
      </c>
      <c r="AC51" s="261" t="s">
        <v>61</v>
      </c>
      <c r="AD51" s="261" t="s">
        <v>61</v>
      </c>
      <c r="AE51" s="261" t="s">
        <v>61</v>
      </c>
      <c r="AF51" s="261" t="s">
        <v>61</v>
      </c>
      <c r="AG51" s="261" t="s">
        <v>61</v>
      </c>
      <c r="AH51" s="261" t="s">
        <v>61</v>
      </c>
      <c r="AI51" s="261" t="s">
        <v>61</v>
      </c>
      <c r="AJ51" s="261" t="s">
        <v>61</v>
      </c>
      <c r="AK51" s="244">
        <f t="shared" si="1"/>
        <v>0</v>
      </c>
      <c r="AL51" s="244">
        <f t="shared" si="2"/>
        <v>0</v>
      </c>
      <c r="AM51" s="244">
        <f t="shared" si="3"/>
        <v>0</v>
      </c>
      <c r="AN51" s="244">
        <f t="shared" si="4"/>
        <v>0</v>
      </c>
      <c r="AO51" s="244">
        <f t="shared" si="5"/>
        <v>0</v>
      </c>
      <c r="AP51" s="244">
        <f t="shared" si="6"/>
        <v>0</v>
      </c>
      <c r="AQ51" s="244">
        <f t="shared" si="7"/>
        <v>0</v>
      </c>
      <c r="AR51" s="244">
        <f t="shared" si="8"/>
        <v>0</v>
      </c>
      <c r="AS51" s="244">
        <f t="shared" si="9"/>
        <v>0</v>
      </c>
      <c r="AT51" s="244">
        <f t="shared" si="10"/>
        <v>0</v>
      </c>
      <c r="AU51" s="244">
        <f t="shared" si="11"/>
        <v>0</v>
      </c>
      <c r="AV51" s="244">
        <f t="shared" si="12"/>
        <v>0</v>
      </c>
      <c r="AW51" s="244">
        <f t="shared" si="13"/>
        <v>0</v>
      </c>
      <c r="AX51" s="244">
        <f t="shared" si="14"/>
        <v>0</v>
      </c>
      <c r="AY51" s="244">
        <f t="shared" si="15"/>
        <v>0</v>
      </c>
      <c r="AZ51" s="244">
        <f t="shared" si="16"/>
        <v>0</v>
      </c>
      <c r="BA51" s="244">
        <f t="shared" si="17"/>
        <v>0</v>
      </c>
      <c r="BB51" s="244">
        <f t="shared" si="18"/>
        <v>0</v>
      </c>
    </row>
    <row r="52" spans="1:54" x14ac:dyDescent="0.2">
      <c r="A52" s="143">
        <v>49</v>
      </c>
      <c r="B52" s="143">
        <v>595</v>
      </c>
      <c r="C52" s="184" t="s">
        <v>155</v>
      </c>
      <c r="D52" s="144" t="s">
        <v>184</v>
      </c>
      <c r="E52" s="144" t="s">
        <v>250</v>
      </c>
      <c r="F52" s="144" t="s">
        <v>278</v>
      </c>
      <c r="G52" s="144" t="s">
        <v>288</v>
      </c>
      <c r="H52" s="144" t="s">
        <v>330</v>
      </c>
      <c r="I52" s="145">
        <v>100</v>
      </c>
      <c r="J52" s="147" t="s">
        <v>98</v>
      </c>
      <c r="K52" s="147" t="s">
        <v>98</v>
      </c>
      <c r="L52" s="147" t="s">
        <v>98</v>
      </c>
      <c r="M52" s="147" t="s">
        <v>98</v>
      </c>
      <c r="N52" s="147" t="s">
        <v>98</v>
      </c>
      <c r="O52" s="147" t="s">
        <v>98</v>
      </c>
      <c r="P52" s="147" t="s">
        <v>98</v>
      </c>
      <c r="Q52" s="147" t="s">
        <v>98</v>
      </c>
      <c r="R52" s="146" t="s">
        <v>126</v>
      </c>
      <c r="S52" s="261" t="s">
        <v>61</v>
      </c>
      <c r="T52" s="261" t="s">
        <v>61</v>
      </c>
      <c r="U52" s="261" t="s">
        <v>61</v>
      </c>
      <c r="V52" s="261" t="s">
        <v>61</v>
      </c>
      <c r="W52" s="261" t="s">
        <v>61</v>
      </c>
      <c r="X52" s="261" t="s">
        <v>61</v>
      </c>
      <c r="Y52" s="261" t="s">
        <v>61</v>
      </c>
      <c r="Z52" s="261" t="s">
        <v>61</v>
      </c>
      <c r="AA52" s="261" t="s">
        <v>61</v>
      </c>
      <c r="AB52" s="261" t="s">
        <v>61</v>
      </c>
      <c r="AC52" s="261" t="s">
        <v>61</v>
      </c>
      <c r="AD52" s="261" t="s">
        <v>61</v>
      </c>
      <c r="AE52" s="261" t="s">
        <v>61</v>
      </c>
      <c r="AF52" s="261" t="s">
        <v>61</v>
      </c>
      <c r="AG52" s="261" t="s">
        <v>61</v>
      </c>
      <c r="AH52" s="261" t="s">
        <v>61</v>
      </c>
      <c r="AI52" s="261" t="s">
        <v>61</v>
      </c>
      <c r="AJ52" s="261" t="s">
        <v>61</v>
      </c>
      <c r="AK52" s="244">
        <f t="shared" si="1"/>
        <v>0</v>
      </c>
      <c r="AL52" s="244">
        <f t="shared" si="2"/>
        <v>0</v>
      </c>
      <c r="AM52" s="244">
        <f t="shared" si="3"/>
        <v>0</v>
      </c>
      <c r="AN52" s="244">
        <f t="shared" si="4"/>
        <v>0</v>
      </c>
      <c r="AO52" s="244">
        <f t="shared" si="5"/>
        <v>0</v>
      </c>
      <c r="AP52" s="244">
        <f t="shared" si="6"/>
        <v>0</v>
      </c>
      <c r="AQ52" s="244">
        <f t="shared" si="7"/>
        <v>0</v>
      </c>
      <c r="AR52" s="244">
        <f t="shared" si="8"/>
        <v>0</v>
      </c>
      <c r="AS52" s="244">
        <f t="shared" si="9"/>
        <v>0</v>
      </c>
      <c r="AT52" s="244">
        <f t="shared" si="10"/>
        <v>0</v>
      </c>
      <c r="AU52" s="244">
        <f t="shared" si="11"/>
        <v>0</v>
      </c>
      <c r="AV52" s="244">
        <f t="shared" si="12"/>
        <v>0</v>
      </c>
      <c r="AW52" s="244">
        <f t="shared" si="13"/>
        <v>0</v>
      </c>
      <c r="AX52" s="244">
        <f t="shared" si="14"/>
        <v>0</v>
      </c>
      <c r="AY52" s="244">
        <f t="shared" si="15"/>
        <v>0</v>
      </c>
      <c r="AZ52" s="244">
        <f t="shared" si="16"/>
        <v>0</v>
      </c>
      <c r="BA52" s="244">
        <f t="shared" si="17"/>
        <v>0</v>
      </c>
      <c r="BB52" s="244">
        <f t="shared" si="18"/>
        <v>0</v>
      </c>
    </row>
    <row r="53" spans="1:54" x14ac:dyDescent="0.2">
      <c r="A53" s="143">
        <v>50</v>
      </c>
      <c r="B53" s="143">
        <v>113</v>
      </c>
      <c r="C53" s="184" t="s">
        <v>155</v>
      </c>
      <c r="D53" s="144" t="s">
        <v>179</v>
      </c>
      <c r="E53" s="144" t="s">
        <v>238</v>
      </c>
      <c r="F53" s="144" t="s">
        <v>64</v>
      </c>
      <c r="G53" s="144" t="s">
        <v>317</v>
      </c>
      <c r="H53" s="144" t="s">
        <v>330</v>
      </c>
      <c r="I53" s="145">
        <v>100.2</v>
      </c>
      <c r="J53" s="147" t="s">
        <v>98</v>
      </c>
      <c r="K53" s="147" t="s">
        <v>98</v>
      </c>
      <c r="L53" s="147" t="s">
        <v>98</v>
      </c>
      <c r="M53" s="147" t="s">
        <v>98</v>
      </c>
      <c r="N53" s="147" t="s">
        <v>98</v>
      </c>
      <c r="O53" s="147" t="s">
        <v>98</v>
      </c>
      <c r="P53" s="147" t="s">
        <v>98</v>
      </c>
      <c r="Q53" s="147" t="s">
        <v>98</v>
      </c>
      <c r="R53" s="146" t="s">
        <v>126</v>
      </c>
      <c r="S53" s="261" t="s">
        <v>61</v>
      </c>
      <c r="T53" s="261" t="s">
        <v>61</v>
      </c>
      <c r="U53" s="261" t="s">
        <v>61</v>
      </c>
      <c r="V53" s="261" t="s">
        <v>61</v>
      </c>
      <c r="W53" s="261" t="s">
        <v>61</v>
      </c>
      <c r="X53" s="261" t="s">
        <v>61</v>
      </c>
      <c r="Y53" s="261" t="s">
        <v>61</v>
      </c>
      <c r="Z53" s="261" t="s">
        <v>61</v>
      </c>
      <c r="AA53" s="261" t="s">
        <v>61</v>
      </c>
      <c r="AB53" s="261" t="s">
        <v>61</v>
      </c>
      <c r="AC53" s="261" t="s">
        <v>61</v>
      </c>
      <c r="AD53" s="261" t="s">
        <v>61</v>
      </c>
      <c r="AE53" s="261" t="s">
        <v>61</v>
      </c>
      <c r="AF53" s="261" t="s">
        <v>61</v>
      </c>
      <c r="AG53" s="261" t="s">
        <v>61</v>
      </c>
      <c r="AH53" s="261" t="s">
        <v>61</v>
      </c>
      <c r="AI53" s="261" t="s">
        <v>61</v>
      </c>
      <c r="AJ53" s="261" t="s">
        <v>61</v>
      </c>
      <c r="AK53" s="244">
        <f t="shared" si="1"/>
        <v>0</v>
      </c>
      <c r="AL53" s="244">
        <f t="shared" si="2"/>
        <v>0</v>
      </c>
      <c r="AM53" s="244">
        <f t="shared" si="3"/>
        <v>0</v>
      </c>
      <c r="AN53" s="244">
        <f t="shared" si="4"/>
        <v>0</v>
      </c>
      <c r="AO53" s="244">
        <f t="shared" si="5"/>
        <v>0</v>
      </c>
      <c r="AP53" s="244">
        <f t="shared" si="6"/>
        <v>0</v>
      </c>
      <c r="AQ53" s="244">
        <f t="shared" si="7"/>
        <v>0</v>
      </c>
      <c r="AR53" s="244">
        <f t="shared" si="8"/>
        <v>0</v>
      </c>
      <c r="AS53" s="244">
        <f t="shared" si="9"/>
        <v>0</v>
      </c>
      <c r="AT53" s="244">
        <f t="shared" si="10"/>
        <v>0</v>
      </c>
      <c r="AU53" s="244">
        <f t="shared" si="11"/>
        <v>0</v>
      </c>
      <c r="AV53" s="244">
        <f t="shared" si="12"/>
        <v>0</v>
      </c>
      <c r="AW53" s="244">
        <f t="shared" si="13"/>
        <v>0</v>
      </c>
      <c r="AX53" s="244">
        <f t="shared" si="14"/>
        <v>0</v>
      </c>
      <c r="AY53" s="244">
        <f t="shared" si="15"/>
        <v>0</v>
      </c>
      <c r="AZ53" s="244">
        <f t="shared" si="16"/>
        <v>0</v>
      </c>
      <c r="BA53" s="244">
        <f t="shared" si="17"/>
        <v>0</v>
      </c>
      <c r="BB53" s="244">
        <f t="shared" si="18"/>
        <v>0</v>
      </c>
    </row>
    <row r="54" spans="1:54" x14ac:dyDescent="0.2">
      <c r="A54" s="143">
        <v>51</v>
      </c>
      <c r="B54" s="143">
        <v>555</v>
      </c>
      <c r="C54" s="184" t="s">
        <v>155</v>
      </c>
      <c r="D54" s="144" t="s">
        <v>204</v>
      </c>
      <c r="E54" s="144" t="s">
        <v>227</v>
      </c>
      <c r="F54" s="144" t="s">
        <v>64</v>
      </c>
      <c r="G54" s="144" t="s">
        <v>315</v>
      </c>
      <c r="H54" s="144" t="s">
        <v>330</v>
      </c>
      <c r="I54" s="145">
        <v>150</v>
      </c>
      <c r="J54" s="147" t="s">
        <v>98</v>
      </c>
      <c r="K54" s="147" t="s">
        <v>98</v>
      </c>
      <c r="L54" s="147" t="s">
        <v>98</v>
      </c>
      <c r="M54" s="147" t="s">
        <v>98</v>
      </c>
      <c r="N54" s="147" t="s">
        <v>98</v>
      </c>
      <c r="O54" s="147" t="s">
        <v>98</v>
      </c>
      <c r="P54" s="147" t="s">
        <v>98</v>
      </c>
      <c r="Q54" s="147" t="s">
        <v>98</v>
      </c>
      <c r="R54" s="146" t="s">
        <v>126</v>
      </c>
      <c r="S54" s="261" t="s">
        <v>61</v>
      </c>
      <c r="T54" s="261" t="s">
        <v>61</v>
      </c>
      <c r="U54" s="261" t="s">
        <v>61</v>
      </c>
      <c r="V54" s="261" t="s">
        <v>61</v>
      </c>
      <c r="W54" s="261" t="s">
        <v>61</v>
      </c>
      <c r="X54" s="261" t="s">
        <v>61</v>
      </c>
      <c r="Y54" s="261" t="s">
        <v>61</v>
      </c>
      <c r="Z54" s="261" t="s">
        <v>61</v>
      </c>
      <c r="AA54" s="261" t="s">
        <v>61</v>
      </c>
      <c r="AB54" s="261" t="s">
        <v>61</v>
      </c>
      <c r="AC54" s="261" t="s">
        <v>61</v>
      </c>
      <c r="AD54" s="261" t="s">
        <v>61</v>
      </c>
      <c r="AE54" s="261" t="s">
        <v>61</v>
      </c>
      <c r="AF54" s="261" t="s">
        <v>61</v>
      </c>
      <c r="AG54" s="261" t="s">
        <v>61</v>
      </c>
      <c r="AH54" s="261" t="s">
        <v>61</v>
      </c>
      <c r="AI54" s="261" t="s">
        <v>61</v>
      </c>
      <c r="AJ54" s="261" t="s">
        <v>61</v>
      </c>
      <c r="AK54" s="244">
        <f t="shared" si="1"/>
        <v>0</v>
      </c>
      <c r="AL54" s="244">
        <f t="shared" si="2"/>
        <v>0</v>
      </c>
      <c r="AM54" s="244">
        <f t="shared" si="3"/>
        <v>0</v>
      </c>
      <c r="AN54" s="244">
        <f t="shared" si="4"/>
        <v>0</v>
      </c>
      <c r="AO54" s="244">
        <f t="shared" si="5"/>
        <v>0</v>
      </c>
      <c r="AP54" s="244">
        <f t="shared" si="6"/>
        <v>0</v>
      </c>
      <c r="AQ54" s="244">
        <f t="shared" si="7"/>
        <v>0</v>
      </c>
      <c r="AR54" s="244">
        <f t="shared" si="8"/>
        <v>0</v>
      </c>
      <c r="AS54" s="244">
        <f t="shared" si="9"/>
        <v>0</v>
      </c>
      <c r="AT54" s="244">
        <f t="shared" si="10"/>
        <v>0</v>
      </c>
      <c r="AU54" s="244">
        <f t="shared" si="11"/>
        <v>0</v>
      </c>
      <c r="AV54" s="244">
        <f t="shared" si="12"/>
        <v>0</v>
      </c>
      <c r="AW54" s="244">
        <f t="shared" si="13"/>
        <v>0</v>
      </c>
      <c r="AX54" s="244">
        <f t="shared" si="14"/>
        <v>0</v>
      </c>
      <c r="AY54" s="244">
        <f t="shared" si="15"/>
        <v>0</v>
      </c>
      <c r="AZ54" s="244">
        <f t="shared" si="16"/>
        <v>0</v>
      </c>
      <c r="BA54" s="244">
        <f t="shared" si="17"/>
        <v>0</v>
      </c>
      <c r="BB54" s="244">
        <f t="shared" si="18"/>
        <v>0</v>
      </c>
    </row>
    <row r="55" spans="1:54" x14ac:dyDescent="0.2">
      <c r="A55" s="143">
        <v>52</v>
      </c>
      <c r="B55" s="143">
        <v>300</v>
      </c>
      <c r="C55" s="184" t="s">
        <v>155</v>
      </c>
      <c r="D55" s="144" t="s">
        <v>180</v>
      </c>
      <c r="E55" s="144" t="s">
        <v>239</v>
      </c>
      <c r="F55" s="144" t="s">
        <v>274</v>
      </c>
      <c r="G55" s="144" t="s">
        <v>307</v>
      </c>
      <c r="H55" s="144" t="s">
        <v>330</v>
      </c>
      <c r="I55" s="145">
        <v>80</v>
      </c>
      <c r="J55" s="147" t="s">
        <v>98</v>
      </c>
      <c r="K55" s="147" t="s">
        <v>98</v>
      </c>
      <c r="L55" s="147" t="s">
        <v>98</v>
      </c>
      <c r="M55" s="147" t="s">
        <v>98</v>
      </c>
      <c r="N55" s="147" t="s">
        <v>98</v>
      </c>
      <c r="O55" s="147" t="s">
        <v>98</v>
      </c>
      <c r="P55" s="147" t="s">
        <v>98</v>
      </c>
      <c r="Q55" s="147" t="s">
        <v>98</v>
      </c>
      <c r="R55" s="146" t="s">
        <v>126</v>
      </c>
      <c r="S55" s="261" t="s">
        <v>61</v>
      </c>
      <c r="T55" s="261" t="s">
        <v>61</v>
      </c>
      <c r="U55" s="261" t="s">
        <v>61</v>
      </c>
      <c r="V55" s="261" t="s">
        <v>61</v>
      </c>
      <c r="W55" s="261" t="s">
        <v>61</v>
      </c>
      <c r="X55" s="261" t="s">
        <v>61</v>
      </c>
      <c r="Y55" s="261" t="s">
        <v>61</v>
      </c>
      <c r="Z55" s="261" t="s">
        <v>61</v>
      </c>
      <c r="AA55" s="261" t="s">
        <v>61</v>
      </c>
      <c r="AB55" s="261" t="s">
        <v>61</v>
      </c>
      <c r="AC55" s="261" t="s">
        <v>61</v>
      </c>
      <c r="AD55" s="261" t="s">
        <v>61</v>
      </c>
      <c r="AE55" s="261" t="s">
        <v>61</v>
      </c>
      <c r="AF55" s="261" t="s">
        <v>61</v>
      </c>
      <c r="AG55" s="261" t="s">
        <v>61</v>
      </c>
      <c r="AH55" s="261" t="s">
        <v>61</v>
      </c>
      <c r="AI55" s="261" t="s">
        <v>61</v>
      </c>
      <c r="AJ55" s="261" t="s">
        <v>61</v>
      </c>
      <c r="AK55" s="244">
        <f t="shared" si="1"/>
        <v>0</v>
      </c>
      <c r="AL55" s="244">
        <f t="shared" si="2"/>
        <v>0</v>
      </c>
      <c r="AM55" s="244">
        <f t="shared" si="3"/>
        <v>0</v>
      </c>
      <c r="AN55" s="244">
        <f t="shared" si="4"/>
        <v>0</v>
      </c>
      <c r="AO55" s="244">
        <f t="shared" si="5"/>
        <v>0</v>
      </c>
      <c r="AP55" s="244">
        <f t="shared" si="6"/>
        <v>0</v>
      </c>
      <c r="AQ55" s="244">
        <f t="shared" si="7"/>
        <v>0</v>
      </c>
      <c r="AR55" s="244">
        <f t="shared" si="8"/>
        <v>0</v>
      </c>
      <c r="AS55" s="244">
        <f t="shared" si="9"/>
        <v>0</v>
      </c>
      <c r="AT55" s="244">
        <f t="shared" si="10"/>
        <v>0</v>
      </c>
      <c r="AU55" s="244">
        <f t="shared" si="11"/>
        <v>0</v>
      </c>
      <c r="AV55" s="244">
        <f t="shared" si="12"/>
        <v>0</v>
      </c>
      <c r="AW55" s="244">
        <f t="shared" si="13"/>
        <v>0</v>
      </c>
      <c r="AX55" s="244">
        <f t="shared" si="14"/>
        <v>0</v>
      </c>
      <c r="AY55" s="244">
        <f t="shared" si="15"/>
        <v>0</v>
      </c>
      <c r="AZ55" s="244">
        <f t="shared" si="16"/>
        <v>0</v>
      </c>
      <c r="BA55" s="244">
        <f t="shared" si="17"/>
        <v>0</v>
      </c>
      <c r="BB55" s="244">
        <f t="shared" si="18"/>
        <v>0</v>
      </c>
    </row>
    <row r="56" spans="1:54" x14ac:dyDescent="0.2">
      <c r="A56" s="143">
        <v>53</v>
      </c>
      <c r="B56" s="143">
        <v>419</v>
      </c>
      <c r="C56" s="184" t="s">
        <v>155</v>
      </c>
      <c r="D56" s="144" t="s">
        <v>196</v>
      </c>
      <c r="E56" s="144" t="s">
        <v>213</v>
      </c>
      <c r="F56" s="144" t="s">
        <v>89</v>
      </c>
      <c r="G56" s="144" t="s">
        <v>311</v>
      </c>
      <c r="H56" s="144" t="s">
        <v>330</v>
      </c>
      <c r="I56" s="145">
        <v>150</v>
      </c>
      <c r="J56" s="147" t="s">
        <v>98</v>
      </c>
      <c r="K56" s="147" t="s">
        <v>98</v>
      </c>
      <c r="L56" s="147" t="s">
        <v>98</v>
      </c>
      <c r="M56" s="147" t="s">
        <v>98</v>
      </c>
      <c r="N56" s="147" t="s">
        <v>98</v>
      </c>
      <c r="O56" s="147" t="s">
        <v>98</v>
      </c>
      <c r="P56" s="147" t="s">
        <v>98</v>
      </c>
      <c r="Q56" s="147" t="s">
        <v>98</v>
      </c>
      <c r="R56" s="146" t="s">
        <v>126</v>
      </c>
      <c r="S56" s="261" t="s">
        <v>61</v>
      </c>
      <c r="T56" s="261" t="s">
        <v>61</v>
      </c>
      <c r="U56" s="261" t="s">
        <v>61</v>
      </c>
      <c r="V56" s="261" t="s">
        <v>61</v>
      </c>
      <c r="W56" s="261" t="s">
        <v>61</v>
      </c>
      <c r="X56" s="261" t="s">
        <v>61</v>
      </c>
      <c r="Y56" s="261" t="s">
        <v>61</v>
      </c>
      <c r="Z56" s="261" t="s">
        <v>61</v>
      </c>
      <c r="AA56" s="261" t="s">
        <v>61</v>
      </c>
      <c r="AB56" s="261" t="s">
        <v>61</v>
      </c>
      <c r="AC56" s="261" t="s">
        <v>61</v>
      </c>
      <c r="AD56" s="261" t="s">
        <v>61</v>
      </c>
      <c r="AE56" s="261" t="s">
        <v>61</v>
      </c>
      <c r="AF56" s="261" t="s">
        <v>61</v>
      </c>
      <c r="AG56" s="261" t="s">
        <v>61</v>
      </c>
      <c r="AH56" s="261" t="s">
        <v>61</v>
      </c>
      <c r="AI56" s="261" t="s">
        <v>61</v>
      </c>
      <c r="AJ56" s="261" t="s">
        <v>61</v>
      </c>
      <c r="AK56" s="244">
        <f t="shared" si="1"/>
        <v>0</v>
      </c>
      <c r="AL56" s="244">
        <f t="shared" si="2"/>
        <v>0</v>
      </c>
      <c r="AM56" s="244">
        <f t="shared" si="3"/>
        <v>0</v>
      </c>
      <c r="AN56" s="244">
        <f t="shared" si="4"/>
        <v>0</v>
      </c>
      <c r="AO56" s="244">
        <f t="shared" si="5"/>
        <v>0</v>
      </c>
      <c r="AP56" s="244">
        <f t="shared" si="6"/>
        <v>0</v>
      </c>
      <c r="AQ56" s="244">
        <f t="shared" si="7"/>
        <v>0</v>
      </c>
      <c r="AR56" s="244">
        <f t="shared" si="8"/>
        <v>0</v>
      </c>
      <c r="AS56" s="244">
        <f t="shared" si="9"/>
        <v>0</v>
      </c>
      <c r="AT56" s="244">
        <f t="shared" si="10"/>
        <v>0</v>
      </c>
      <c r="AU56" s="244">
        <f t="shared" si="11"/>
        <v>0</v>
      </c>
      <c r="AV56" s="244">
        <f t="shared" si="12"/>
        <v>0</v>
      </c>
      <c r="AW56" s="244">
        <f t="shared" si="13"/>
        <v>0</v>
      </c>
      <c r="AX56" s="244">
        <f t="shared" si="14"/>
        <v>0</v>
      </c>
      <c r="AY56" s="244">
        <f t="shared" si="15"/>
        <v>0</v>
      </c>
      <c r="AZ56" s="244">
        <f t="shared" si="16"/>
        <v>0</v>
      </c>
      <c r="BA56" s="244">
        <f t="shared" si="17"/>
        <v>0</v>
      </c>
      <c r="BB56" s="244">
        <f t="shared" si="18"/>
        <v>0</v>
      </c>
    </row>
    <row r="57" spans="1:54" x14ac:dyDescent="0.2">
      <c r="A57" s="143">
        <v>54</v>
      </c>
      <c r="B57" s="143">
        <v>158</v>
      </c>
      <c r="C57" s="184" t="s">
        <v>155</v>
      </c>
      <c r="D57" s="144" t="s">
        <v>197</v>
      </c>
      <c r="E57" s="144" t="s">
        <v>252</v>
      </c>
      <c r="F57" s="144" t="s">
        <v>89</v>
      </c>
      <c r="G57" s="144" t="s">
        <v>312</v>
      </c>
      <c r="H57" s="144" t="s">
        <v>330</v>
      </c>
      <c r="I57" s="145">
        <v>150</v>
      </c>
      <c r="J57" s="147" t="s">
        <v>98</v>
      </c>
      <c r="K57" s="147" t="s">
        <v>98</v>
      </c>
      <c r="L57" s="147" t="s">
        <v>98</v>
      </c>
      <c r="M57" s="147" t="s">
        <v>98</v>
      </c>
      <c r="N57" s="147" t="s">
        <v>98</v>
      </c>
      <c r="O57" s="147" t="s">
        <v>98</v>
      </c>
      <c r="P57" s="147" t="s">
        <v>98</v>
      </c>
      <c r="Q57" s="147" t="s">
        <v>98</v>
      </c>
      <c r="R57" s="146" t="s">
        <v>126</v>
      </c>
      <c r="S57" s="261" t="s">
        <v>61</v>
      </c>
      <c r="T57" s="261" t="s">
        <v>61</v>
      </c>
      <c r="U57" s="261" t="s">
        <v>61</v>
      </c>
      <c r="V57" s="261" t="s">
        <v>61</v>
      </c>
      <c r="W57" s="261" t="s">
        <v>61</v>
      </c>
      <c r="X57" s="261" t="s">
        <v>61</v>
      </c>
      <c r="Y57" s="261" t="s">
        <v>61</v>
      </c>
      <c r="Z57" s="261" t="s">
        <v>61</v>
      </c>
      <c r="AA57" s="261" t="s">
        <v>61</v>
      </c>
      <c r="AB57" s="261" t="s">
        <v>61</v>
      </c>
      <c r="AC57" s="261" t="s">
        <v>61</v>
      </c>
      <c r="AD57" s="261" t="s">
        <v>61</v>
      </c>
      <c r="AE57" s="261" t="s">
        <v>61</v>
      </c>
      <c r="AF57" s="261" t="s">
        <v>61</v>
      </c>
      <c r="AG57" s="261" t="s">
        <v>61</v>
      </c>
      <c r="AH57" s="261" t="s">
        <v>61</v>
      </c>
      <c r="AI57" s="261" t="s">
        <v>61</v>
      </c>
      <c r="AJ57" s="261" t="s">
        <v>61</v>
      </c>
      <c r="AK57" s="244">
        <f t="shared" si="1"/>
        <v>0</v>
      </c>
      <c r="AL57" s="244">
        <f t="shared" si="2"/>
        <v>0</v>
      </c>
      <c r="AM57" s="244">
        <f t="shared" si="3"/>
        <v>0</v>
      </c>
      <c r="AN57" s="244">
        <f t="shared" si="4"/>
        <v>0</v>
      </c>
      <c r="AO57" s="244">
        <f t="shared" si="5"/>
        <v>0</v>
      </c>
      <c r="AP57" s="244">
        <f t="shared" si="6"/>
        <v>0</v>
      </c>
      <c r="AQ57" s="244">
        <f t="shared" si="7"/>
        <v>0</v>
      </c>
      <c r="AR57" s="244">
        <f t="shared" si="8"/>
        <v>0</v>
      </c>
      <c r="AS57" s="244">
        <f t="shared" si="9"/>
        <v>0</v>
      </c>
      <c r="AT57" s="244">
        <f t="shared" si="10"/>
        <v>0</v>
      </c>
      <c r="AU57" s="244">
        <f t="shared" si="11"/>
        <v>0</v>
      </c>
      <c r="AV57" s="244">
        <f t="shared" si="12"/>
        <v>0</v>
      </c>
      <c r="AW57" s="244">
        <f t="shared" si="13"/>
        <v>0</v>
      </c>
      <c r="AX57" s="244">
        <f t="shared" si="14"/>
        <v>0</v>
      </c>
      <c r="AY57" s="244">
        <f t="shared" si="15"/>
        <v>0</v>
      </c>
      <c r="AZ57" s="244">
        <f t="shared" si="16"/>
        <v>0</v>
      </c>
      <c r="BA57" s="244">
        <f t="shared" si="17"/>
        <v>0</v>
      </c>
      <c r="BB57" s="244">
        <f t="shared" si="18"/>
        <v>0</v>
      </c>
    </row>
    <row r="58" spans="1:54" x14ac:dyDescent="0.2">
      <c r="A58" s="143">
        <v>55</v>
      </c>
      <c r="B58" s="143">
        <v>666</v>
      </c>
      <c r="C58" s="184" t="s">
        <v>155</v>
      </c>
      <c r="D58" s="144" t="s">
        <v>205</v>
      </c>
      <c r="E58" s="144" t="s">
        <v>271</v>
      </c>
      <c r="F58" s="144" t="s">
        <v>64</v>
      </c>
      <c r="G58" s="144" t="s">
        <v>314</v>
      </c>
      <c r="H58" s="144" t="s">
        <v>330</v>
      </c>
      <c r="I58" s="145">
        <v>65</v>
      </c>
      <c r="J58" s="147" t="s">
        <v>98</v>
      </c>
      <c r="K58" s="147" t="s">
        <v>98</v>
      </c>
      <c r="L58" s="147" t="s">
        <v>98</v>
      </c>
      <c r="M58" s="147" t="s">
        <v>98</v>
      </c>
      <c r="N58" s="147" t="s">
        <v>98</v>
      </c>
      <c r="O58" s="147" t="s">
        <v>98</v>
      </c>
      <c r="P58" s="147" t="s">
        <v>98</v>
      </c>
      <c r="Q58" s="147" t="s">
        <v>98</v>
      </c>
      <c r="R58" s="146" t="s">
        <v>126</v>
      </c>
      <c r="S58" s="261" t="s">
        <v>61</v>
      </c>
      <c r="T58" s="261" t="s">
        <v>61</v>
      </c>
      <c r="U58" s="261" t="s">
        <v>61</v>
      </c>
      <c r="V58" s="261" t="s">
        <v>61</v>
      </c>
      <c r="W58" s="261" t="s">
        <v>61</v>
      </c>
      <c r="X58" s="261" t="s">
        <v>61</v>
      </c>
      <c r="Y58" s="261" t="s">
        <v>61</v>
      </c>
      <c r="Z58" s="261" t="s">
        <v>61</v>
      </c>
      <c r="AA58" s="261" t="s">
        <v>61</v>
      </c>
      <c r="AB58" s="261" t="s">
        <v>61</v>
      </c>
      <c r="AC58" s="261" t="s">
        <v>61</v>
      </c>
      <c r="AD58" s="261" t="s">
        <v>61</v>
      </c>
      <c r="AE58" s="261" t="s">
        <v>61</v>
      </c>
      <c r="AF58" s="261" t="s">
        <v>61</v>
      </c>
      <c r="AG58" s="261" t="s">
        <v>61</v>
      </c>
      <c r="AH58" s="261" t="s">
        <v>61</v>
      </c>
      <c r="AI58" s="261" t="s">
        <v>61</v>
      </c>
      <c r="AJ58" s="261" t="s">
        <v>61</v>
      </c>
      <c r="AK58" s="244">
        <f t="shared" si="1"/>
        <v>0</v>
      </c>
      <c r="AL58" s="244">
        <f t="shared" si="2"/>
        <v>0</v>
      </c>
      <c r="AM58" s="244">
        <f t="shared" si="3"/>
        <v>0</v>
      </c>
      <c r="AN58" s="244">
        <f t="shared" si="4"/>
        <v>0</v>
      </c>
      <c r="AO58" s="244">
        <f t="shared" si="5"/>
        <v>0</v>
      </c>
      <c r="AP58" s="244">
        <f t="shared" si="6"/>
        <v>0</v>
      </c>
      <c r="AQ58" s="244">
        <f t="shared" si="7"/>
        <v>0</v>
      </c>
      <c r="AR58" s="244">
        <f t="shared" si="8"/>
        <v>0</v>
      </c>
      <c r="AS58" s="244">
        <f t="shared" si="9"/>
        <v>0</v>
      </c>
      <c r="AT58" s="244">
        <f t="shared" si="10"/>
        <v>0</v>
      </c>
      <c r="AU58" s="244">
        <f t="shared" si="11"/>
        <v>0</v>
      </c>
      <c r="AV58" s="244">
        <f t="shared" si="12"/>
        <v>0</v>
      </c>
      <c r="AW58" s="244">
        <f t="shared" si="13"/>
        <v>0</v>
      </c>
      <c r="AX58" s="244">
        <f t="shared" si="14"/>
        <v>0</v>
      </c>
      <c r="AY58" s="244">
        <f t="shared" si="15"/>
        <v>0</v>
      </c>
      <c r="AZ58" s="244">
        <f t="shared" si="16"/>
        <v>0</v>
      </c>
      <c r="BA58" s="244">
        <f t="shared" si="17"/>
        <v>0</v>
      </c>
      <c r="BB58" s="244">
        <f t="shared" si="18"/>
        <v>0</v>
      </c>
    </row>
    <row r="59" spans="1:54" x14ac:dyDescent="0.2">
      <c r="A59" s="143">
        <v>56</v>
      </c>
      <c r="B59" s="143">
        <v>378</v>
      </c>
      <c r="C59" s="184" t="s">
        <v>155</v>
      </c>
      <c r="D59" s="144" t="s">
        <v>198</v>
      </c>
      <c r="E59" s="144" t="s">
        <v>222</v>
      </c>
      <c r="F59" s="144" t="s">
        <v>64</v>
      </c>
      <c r="G59" s="144" t="s">
        <v>314</v>
      </c>
      <c r="H59" s="144" t="s">
        <v>330</v>
      </c>
      <c r="I59" s="145">
        <v>115</v>
      </c>
      <c r="J59" s="147" t="s">
        <v>98</v>
      </c>
      <c r="K59" s="147" t="s">
        <v>98</v>
      </c>
      <c r="L59" s="147" t="s">
        <v>98</v>
      </c>
      <c r="M59" s="147" t="s">
        <v>98</v>
      </c>
      <c r="N59" s="147" t="s">
        <v>98</v>
      </c>
      <c r="O59" s="147" t="s">
        <v>98</v>
      </c>
      <c r="P59" s="147" t="s">
        <v>98</v>
      </c>
      <c r="Q59" s="147" t="s">
        <v>98</v>
      </c>
      <c r="R59" s="146" t="s">
        <v>126</v>
      </c>
      <c r="S59" s="261" t="s">
        <v>61</v>
      </c>
      <c r="T59" s="261" t="s">
        <v>61</v>
      </c>
      <c r="U59" s="261" t="s">
        <v>61</v>
      </c>
      <c r="V59" s="261" t="s">
        <v>61</v>
      </c>
      <c r="W59" s="261" t="s">
        <v>61</v>
      </c>
      <c r="X59" s="261" t="s">
        <v>61</v>
      </c>
      <c r="Y59" s="261" t="s">
        <v>61</v>
      </c>
      <c r="Z59" s="261" t="s">
        <v>61</v>
      </c>
      <c r="AA59" s="261" t="s">
        <v>61</v>
      </c>
      <c r="AB59" s="261" t="s">
        <v>61</v>
      </c>
      <c r="AC59" s="261" t="s">
        <v>61</v>
      </c>
      <c r="AD59" s="261" t="s">
        <v>61</v>
      </c>
      <c r="AE59" s="261" t="s">
        <v>61</v>
      </c>
      <c r="AF59" s="261" t="s">
        <v>61</v>
      </c>
      <c r="AG59" s="261" t="s">
        <v>61</v>
      </c>
      <c r="AH59" s="261" t="s">
        <v>61</v>
      </c>
      <c r="AI59" s="261" t="s">
        <v>61</v>
      </c>
      <c r="AJ59" s="261" t="s">
        <v>61</v>
      </c>
      <c r="AK59" s="244">
        <f t="shared" si="1"/>
        <v>0</v>
      </c>
      <c r="AL59" s="244">
        <f t="shared" si="2"/>
        <v>0</v>
      </c>
      <c r="AM59" s="244">
        <f t="shared" si="3"/>
        <v>0</v>
      </c>
      <c r="AN59" s="244">
        <f t="shared" si="4"/>
        <v>0</v>
      </c>
      <c r="AO59" s="244">
        <f t="shared" si="5"/>
        <v>0</v>
      </c>
      <c r="AP59" s="244">
        <f t="shared" si="6"/>
        <v>0</v>
      </c>
      <c r="AQ59" s="244">
        <f t="shared" si="7"/>
        <v>0</v>
      </c>
      <c r="AR59" s="244">
        <f t="shared" si="8"/>
        <v>0</v>
      </c>
      <c r="AS59" s="244">
        <f t="shared" si="9"/>
        <v>0</v>
      </c>
      <c r="AT59" s="244">
        <f t="shared" si="10"/>
        <v>0</v>
      </c>
      <c r="AU59" s="244">
        <f t="shared" si="11"/>
        <v>0</v>
      </c>
      <c r="AV59" s="244">
        <f t="shared" si="12"/>
        <v>0</v>
      </c>
      <c r="AW59" s="244">
        <f t="shared" si="13"/>
        <v>0</v>
      </c>
      <c r="AX59" s="244">
        <f t="shared" si="14"/>
        <v>0</v>
      </c>
      <c r="AY59" s="244">
        <f t="shared" si="15"/>
        <v>0</v>
      </c>
      <c r="AZ59" s="244">
        <f t="shared" si="16"/>
        <v>0</v>
      </c>
      <c r="BA59" s="244">
        <f t="shared" si="17"/>
        <v>0</v>
      </c>
      <c r="BB59" s="244">
        <f t="shared" si="18"/>
        <v>0</v>
      </c>
    </row>
    <row r="60" spans="1:54" x14ac:dyDescent="0.2">
      <c r="A60" s="143">
        <v>57</v>
      </c>
      <c r="B60" s="143">
        <v>166</v>
      </c>
      <c r="C60" s="184" t="s">
        <v>155</v>
      </c>
      <c r="D60" s="144" t="s">
        <v>156</v>
      </c>
      <c r="E60" s="144" t="s">
        <v>235</v>
      </c>
      <c r="F60" s="144" t="s">
        <v>64</v>
      </c>
      <c r="G60" s="144" t="s">
        <v>316</v>
      </c>
      <c r="H60" s="144" t="s">
        <v>330</v>
      </c>
      <c r="I60" s="145">
        <v>80</v>
      </c>
      <c r="J60" s="147" t="s">
        <v>98</v>
      </c>
      <c r="K60" s="147" t="s">
        <v>98</v>
      </c>
      <c r="L60" s="147" t="s">
        <v>98</v>
      </c>
      <c r="M60" s="147" t="s">
        <v>98</v>
      </c>
      <c r="N60" s="147" t="s">
        <v>98</v>
      </c>
      <c r="O60" s="147" t="s">
        <v>98</v>
      </c>
      <c r="P60" s="147" t="s">
        <v>98</v>
      </c>
      <c r="Q60" s="147" t="s">
        <v>98</v>
      </c>
      <c r="R60" s="146" t="s">
        <v>126</v>
      </c>
      <c r="S60" s="261" t="s">
        <v>61</v>
      </c>
      <c r="T60" s="261" t="s">
        <v>61</v>
      </c>
      <c r="U60" s="261" t="s">
        <v>61</v>
      </c>
      <c r="V60" s="261" t="s">
        <v>61</v>
      </c>
      <c r="W60" s="261" t="s">
        <v>61</v>
      </c>
      <c r="X60" s="261" t="s">
        <v>61</v>
      </c>
      <c r="Y60" s="261" t="s">
        <v>61</v>
      </c>
      <c r="Z60" s="261" t="s">
        <v>61</v>
      </c>
      <c r="AA60" s="261" t="s">
        <v>61</v>
      </c>
      <c r="AB60" s="261" t="s">
        <v>61</v>
      </c>
      <c r="AC60" s="261" t="s">
        <v>61</v>
      </c>
      <c r="AD60" s="261" t="s">
        <v>61</v>
      </c>
      <c r="AE60" s="261" t="s">
        <v>61</v>
      </c>
      <c r="AF60" s="261" t="s">
        <v>61</v>
      </c>
      <c r="AG60" s="261" t="s">
        <v>61</v>
      </c>
      <c r="AH60" s="261" t="s">
        <v>61</v>
      </c>
      <c r="AI60" s="261" t="s">
        <v>61</v>
      </c>
      <c r="AJ60" s="261" t="s">
        <v>61</v>
      </c>
      <c r="AK60" s="244">
        <f t="shared" si="1"/>
        <v>0</v>
      </c>
      <c r="AL60" s="244">
        <f t="shared" si="2"/>
        <v>0</v>
      </c>
      <c r="AM60" s="244">
        <f t="shared" si="3"/>
        <v>0</v>
      </c>
      <c r="AN60" s="244">
        <f t="shared" si="4"/>
        <v>0</v>
      </c>
      <c r="AO60" s="244">
        <f t="shared" si="5"/>
        <v>0</v>
      </c>
      <c r="AP60" s="244">
        <f t="shared" si="6"/>
        <v>0</v>
      </c>
      <c r="AQ60" s="244">
        <f t="shared" si="7"/>
        <v>0</v>
      </c>
      <c r="AR60" s="244">
        <f t="shared" si="8"/>
        <v>0</v>
      </c>
      <c r="AS60" s="244">
        <f t="shared" si="9"/>
        <v>0</v>
      </c>
      <c r="AT60" s="244">
        <f t="shared" si="10"/>
        <v>0</v>
      </c>
      <c r="AU60" s="244">
        <f t="shared" si="11"/>
        <v>0</v>
      </c>
      <c r="AV60" s="244">
        <f t="shared" si="12"/>
        <v>0</v>
      </c>
      <c r="AW60" s="244">
        <f t="shared" si="13"/>
        <v>0</v>
      </c>
      <c r="AX60" s="244">
        <f t="shared" si="14"/>
        <v>0</v>
      </c>
      <c r="AY60" s="244">
        <f t="shared" si="15"/>
        <v>0</v>
      </c>
      <c r="AZ60" s="244">
        <f t="shared" si="16"/>
        <v>0</v>
      </c>
      <c r="BA60" s="244">
        <f t="shared" si="17"/>
        <v>0</v>
      </c>
      <c r="BB60" s="244">
        <f t="shared" si="18"/>
        <v>0</v>
      </c>
    </row>
    <row r="61" spans="1:54" x14ac:dyDescent="0.2">
      <c r="A61" s="143">
        <v>58</v>
      </c>
      <c r="B61" s="143">
        <v>368</v>
      </c>
      <c r="C61" s="184" t="s">
        <v>155</v>
      </c>
      <c r="D61" s="144" t="s">
        <v>199</v>
      </c>
      <c r="E61" s="144" t="s">
        <v>236</v>
      </c>
      <c r="F61" s="144" t="s">
        <v>64</v>
      </c>
      <c r="G61" s="144" t="s">
        <v>329</v>
      </c>
      <c r="H61" s="144" t="s">
        <v>330</v>
      </c>
      <c r="I61" s="145">
        <v>110</v>
      </c>
      <c r="J61" s="147" t="s">
        <v>98</v>
      </c>
      <c r="K61" s="147" t="s">
        <v>98</v>
      </c>
      <c r="L61" s="147" t="s">
        <v>98</v>
      </c>
      <c r="M61" s="147" t="s">
        <v>98</v>
      </c>
      <c r="N61" s="147" t="s">
        <v>98</v>
      </c>
      <c r="O61" s="147" t="s">
        <v>98</v>
      </c>
      <c r="P61" s="147" t="s">
        <v>98</v>
      </c>
      <c r="Q61" s="147" t="s">
        <v>98</v>
      </c>
      <c r="R61" s="146" t="s">
        <v>126</v>
      </c>
      <c r="S61" s="261" t="s">
        <v>61</v>
      </c>
      <c r="T61" s="261" t="s">
        <v>61</v>
      </c>
      <c r="U61" s="261" t="s">
        <v>61</v>
      </c>
      <c r="V61" s="261" t="s">
        <v>61</v>
      </c>
      <c r="W61" s="261" t="s">
        <v>61</v>
      </c>
      <c r="X61" s="261" t="s">
        <v>61</v>
      </c>
      <c r="Y61" s="261" t="s">
        <v>61</v>
      </c>
      <c r="Z61" s="261" t="s">
        <v>61</v>
      </c>
      <c r="AA61" s="261" t="s">
        <v>61</v>
      </c>
      <c r="AB61" s="261" t="s">
        <v>61</v>
      </c>
      <c r="AC61" s="261" t="s">
        <v>61</v>
      </c>
      <c r="AD61" s="261" t="s">
        <v>61</v>
      </c>
      <c r="AE61" s="261" t="s">
        <v>61</v>
      </c>
      <c r="AF61" s="261" t="s">
        <v>61</v>
      </c>
      <c r="AG61" s="261" t="s">
        <v>61</v>
      </c>
      <c r="AH61" s="261" t="s">
        <v>61</v>
      </c>
      <c r="AI61" s="261" t="s">
        <v>61</v>
      </c>
      <c r="AJ61" s="261" t="s">
        <v>61</v>
      </c>
      <c r="AK61" s="244">
        <f t="shared" si="1"/>
        <v>0</v>
      </c>
      <c r="AL61" s="244">
        <f t="shared" si="2"/>
        <v>0</v>
      </c>
      <c r="AM61" s="244">
        <f t="shared" si="3"/>
        <v>0</v>
      </c>
      <c r="AN61" s="244">
        <f t="shared" si="4"/>
        <v>0</v>
      </c>
      <c r="AO61" s="244">
        <f t="shared" si="5"/>
        <v>0</v>
      </c>
      <c r="AP61" s="244">
        <f t="shared" si="6"/>
        <v>0</v>
      </c>
      <c r="AQ61" s="244">
        <f t="shared" si="7"/>
        <v>0</v>
      </c>
      <c r="AR61" s="244">
        <f t="shared" si="8"/>
        <v>0</v>
      </c>
      <c r="AS61" s="244">
        <f t="shared" si="9"/>
        <v>0</v>
      </c>
      <c r="AT61" s="244">
        <f t="shared" si="10"/>
        <v>0</v>
      </c>
      <c r="AU61" s="244">
        <f t="shared" si="11"/>
        <v>0</v>
      </c>
      <c r="AV61" s="244">
        <f t="shared" si="12"/>
        <v>0</v>
      </c>
      <c r="AW61" s="244">
        <f t="shared" si="13"/>
        <v>0</v>
      </c>
      <c r="AX61" s="244">
        <f t="shared" si="14"/>
        <v>0</v>
      </c>
      <c r="AY61" s="244">
        <f t="shared" si="15"/>
        <v>0</v>
      </c>
      <c r="AZ61" s="244">
        <f t="shared" si="16"/>
        <v>0</v>
      </c>
      <c r="BA61" s="244">
        <f t="shared" si="17"/>
        <v>0</v>
      </c>
      <c r="BB61" s="244">
        <f t="shared" si="18"/>
        <v>0</v>
      </c>
    </row>
    <row r="62" spans="1:54" x14ac:dyDescent="0.2">
      <c r="A62" s="143">
        <v>59</v>
      </c>
      <c r="B62" s="143">
        <v>123</v>
      </c>
      <c r="C62" s="184" t="s">
        <v>155</v>
      </c>
      <c r="D62" s="144" t="s">
        <v>181</v>
      </c>
      <c r="E62" s="144" t="s">
        <v>246</v>
      </c>
      <c r="F62" s="144" t="s">
        <v>277</v>
      </c>
      <c r="G62" s="144" t="s">
        <v>305</v>
      </c>
      <c r="H62" s="144" t="s">
        <v>330</v>
      </c>
      <c r="I62" s="145">
        <v>4.04</v>
      </c>
      <c r="J62" s="147" t="s">
        <v>98</v>
      </c>
      <c r="K62" s="147" t="s">
        <v>98</v>
      </c>
      <c r="L62" s="147" t="s">
        <v>98</v>
      </c>
      <c r="M62" s="147" t="s">
        <v>98</v>
      </c>
      <c r="N62" s="147" t="s">
        <v>98</v>
      </c>
      <c r="O62" s="147" t="s">
        <v>98</v>
      </c>
      <c r="P62" s="147" t="s">
        <v>98</v>
      </c>
      <c r="Q62" s="147" t="s">
        <v>98</v>
      </c>
      <c r="R62" s="146" t="s">
        <v>126</v>
      </c>
      <c r="S62" s="261" t="s">
        <v>61</v>
      </c>
      <c r="T62" s="261" t="s">
        <v>61</v>
      </c>
      <c r="U62" s="261" t="s">
        <v>61</v>
      </c>
      <c r="V62" s="261" t="s">
        <v>61</v>
      </c>
      <c r="W62" s="261" t="s">
        <v>61</v>
      </c>
      <c r="X62" s="261" t="s">
        <v>61</v>
      </c>
      <c r="Y62" s="261" t="s">
        <v>61</v>
      </c>
      <c r="Z62" s="261" t="s">
        <v>61</v>
      </c>
      <c r="AA62" s="261" t="s">
        <v>61</v>
      </c>
      <c r="AB62" s="261" t="s">
        <v>61</v>
      </c>
      <c r="AC62" s="261" t="s">
        <v>61</v>
      </c>
      <c r="AD62" s="261" t="s">
        <v>61</v>
      </c>
      <c r="AE62" s="261" t="s">
        <v>61</v>
      </c>
      <c r="AF62" s="261" t="s">
        <v>61</v>
      </c>
      <c r="AG62" s="261" t="s">
        <v>61</v>
      </c>
      <c r="AH62" s="261" t="s">
        <v>61</v>
      </c>
      <c r="AI62" s="261" t="s">
        <v>61</v>
      </c>
      <c r="AJ62" s="261" t="s">
        <v>61</v>
      </c>
      <c r="AK62" s="244">
        <f t="shared" si="1"/>
        <v>0</v>
      </c>
      <c r="AL62" s="244">
        <f t="shared" si="2"/>
        <v>0</v>
      </c>
      <c r="AM62" s="244">
        <f t="shared" si="3"/>
        <v>0</v>
      </c>
      <c r="AN62" s="244">
        <f t="shared" si="4"/>
        <v>0</v>
      </c>
      <c r="AO62" s="244">
        <f t="shared" si="5"/>
        <v>0</v>
      </c>
      <c r="AP62" s="244">
        <f t="shared" si="6"/>
        <v>0</v>
      </c>
      <c r="AQ62" s="244">
        <f t="shared" si="7"/>
        <v>0</v>
      </c>
      <c r="AR62" s="244">
        <f t="shared" si="8"/>
        <v>0</v>
      </c>
      <c r="AS62" s="244">
        <f t="shared" si="9"/>
        <v>0</v>
      </c>
      <c r="AT62" s="244">
        <f t="shared" si="10"/>
        <v>0</v>
      </c>
      <c r="AU62" s="244">
        <f t="shared" si="11"/>
        <v>0</v>
      </c>
      <c r="AV62" s="244">
        <f t="shared" si="12"/>
        <v>0</v>
      </c>
      <c r="AW62" s="244">
        <f t="shared" si="13"/>
        <v>0</v>
      </c>
      <c r="AX62" s="244">
        <f t="shared" si="14"/>
        <v>0</v>
      </c>
      <c r="AY62" s="244">
        <f t="shared" si="15"/>
        <v>0</v>
      </c>
      <c r="AZ62" s="244">
        <f t="shared" si="16"/>
        <v>0</v>
      </c>
      <c r="BA62" s="244">
        <f t="shared" si="17"/>
        <v>0</v>
      </c>
      <c r="BB62" s="244">
        <f t="shared" si="18"/>
        <v>0</v>
      </c>
    </row>
    <row r="63" spans="1:54" x14ac:dyDescent="0.2">
      <c r="A63" s="143">
        <v>60</v>
      </c>
      <c r="B63" s="143">
        <v>363</v>
      </c>
      <c r="C63" s="184" t="s">
        <v>155</v>
      </c>
      <c r="D63" s="144" t="s">
        <v>200</v>
      </c>
      <c r="E63" s="144" t="s">
        <v>269</v>
      </c>
      <c r="F63" s="144" t="s">
        <v>64</v>
      </c>
      <c r="G63" s="144" t="s">
        <v>319</v>
      </c>
      <c r="H63" s="144" t="s">
        <v>330</v>
      </c>
      <c r="I63" s="145">
        <v>139</v>
      </c>
      <c r="J63" s="147" t="s">
        <v>98</v>
      </c>
      <c r="K63" s="147" t="s">
        <v>98</v>
      </c>
      <c r="L63" s="147" t="s">
        <v>98</v>
      </c>
      <c r="M63" s="147" t="s">
        <v>98</v>
      </c>
      <c r="N63" s="147" t="s">
        <v>98</v>
      </c>
      <c r="O63" s="147" t="s">
        <v>98</v>
      </c>
      <c r="P63" s="147" t="s">
        <v>98</v>
      </c>
      <c r="Q63" s="147" t="s">
        <v>98</v>
      </c>
      <c r="R63" s="146" t="s">
        <v>126</v>
      </c>
      <c r="S63" s="261" t="s">
        <v>61</v>
      </c>
      <c r="T63" s="261" t="s">
        <v>61</v>
      </c>
      <c r="U63" s="261" t="s">
        <v>61</v>
      </c>
      <c r="V63" s="261" t="s">
        <v>61</v>
      </c>
      <c r="W63" s="261" t="s">
        <v>61</v>
      </c>
      <c r="X63" s="261" t="s">
        <v>61</v>
      </c>
      <c r="Y63" s="261" t="s">
        <v>61</v>
      </c>
      <c r="Z63" s="261" t="s">
        <v>61</v>
      </c>
      <c r="AA63" s="261" t="s">
        <v>61</v>
      </c>
      <c r="AB63" s="261" t="s">
        <v>61</v>
      </c>
      <c r="AC63" s="261" t="s">
        <v>61</v>
      </c>
      <c r="AD63" s="261" t="s">
        <v>61</v>
      </c>
      <c r="AE63" s="261" t="s">
        <v>61</v>
      </c>
      <c r="AF63" s="261" t="s">
        <v>61</v>
      </c>
      <c r="AG63" s="261" t="s">
        <v>61</v>
      </c>
      <c r="AH63" s="261" t="s">
        <v>61</v>
      </c>
      <c r="AI63" s="261" t="s">
        <v>61</v>
      </c>
      <c r="AJ63" s="261" t="s">
        <v>61</v>
      </c>
      <c r="AK63" s="244">
        <f t="shared" si="1"/>
        <v>0</v>
      </c>
      <c r="AL63" s="244">
        <f t="shared" si="2"/>
        <v>0</v>
      </c>
      <c r="AM63" s="244">
        <f t="shared" si="3"/>
        <v>0</v>
      </c>
      <c r="AN63" s="244">
        <f t="shared" si="4"/>
        <v>0</v>
      </c>
      <c r="AO63" s="244">
        <f t="shared" si="5"/>
        <v>0</v>
      </c>
      <c r="AP63" s="244">
        <f t="shared" si="6"/>
        <v>0</v>
      </c>
      <c r="AQ63" s="244">
        <f t="shared" si="7"/>
        <v>0</v>
      </c>
      <c r="AR63" s="244">
        <f t="shared" si="8"/>
        <v>0</v>
      </c>
      <c r="AS63" s="244">
        <f t="shared" si="9"/>
        <v>0</v>
      </c>
      <c r="AT63" s="244">
        <f t="shared" si="10"/>
        <v>0</v>
      </c>
      <c r="AU63" s="244">
        <f t="shared" si="11"/>
        <v>0</v>
      </c>
      <c r="AV63" s="244">
        <f t="shared" si="12"/>
        <v>0</v>
      </c>
      <c r="AW63" s="244">
        <f t="shared" si="13"/>
        <v>0</v>
      </c>
      <c r="AX63" s="244">
        <f t="shared" si="14"/>
        <v>0</v>
      </c>
      <c r="AY63" s="244">
        <f t="shared" si="15"/>
        <v>0</v>
      </c>
      <c r="AZ63" s="244">
        <f t="shared" si="16"/>
        <v>0</v>
      </c>
      <c r="BA63" s="244">
        <f t="shared" si="17"/>
        <v>0</v>
      </c>
      <c r="BB63" s="244">
        <f t="shared" si="18"/>
        <v>0</v>
      </c>
    </row>
    <row r="64" spans="1:54" x14ac:dyDescent="0.2">
      <c r="A64" s="143">
        <v>61</v>
      </c>
      <c r="B64" s="143">
        <v>623</v>
      </c>
      <c r="C64" s="184" t="s">
        <v>155</v>
      </c>
      <c r="D64" s="144" t="s">
        <v>206</v>
      </c>
      <c r="E64" s="144" t="s">
        <v>264</v>
      </c>
      <c r="F64" s="144" t="s">
        <v>64</v>
      </c>
      <c r="G64" s="144" t="s">
        <v>318</v>
      </c>
      <c r="H64" s="144" t="s">
        <v>330</v>
      </c>
      <c r="I64" s="145">
        <v>52</v>
      </c>
      <c r="J64" s="147" t="s">
        <v>98</v>
      </c>
      <c r="K64" s="147" t="s">
        <v>98</v>
      </c>
      <c r="L64" s="147" t="s">
        <v>98</v>
      </c>
      <c r="M64" s="147" t="s">
        <v>98</v>
      </c>
      <c r="N64" s="147" t="s">
        <v>98</v>
      </c>
      <c r="O64" s="147" t="s">
        <v>98</v>
      </c>
      <c r="P64" s="147" t="s">
        <v>98</v>
      </c>
      <c r="Q64" s="147" t="s">
        <v>98</v>
      </c>
      <c r="R64" s="146" t="s">
        <v>126</v>
      </c>
      <c r="S64" s="261" t="s">
        <v>61</v>
      </c>
      <c r="T64" s="261" t="s">
        <v>61</v>
      </c>
      <c r="U64" s="261" t="s">
        <v>61</v>
      </c>
      <c r="V64" s="261" t="s">
        <v>61</v>
      </c>
      <c r="W64" s="261" t="s">
        <v>61</v>
      </c>
      <c r="X64" s="261" t="s">
        <v>61</v>
      </c>
      <c r="Y64" s="261" t="s">
        <v>61</v>
      </c>
      <c r="Z64" s="261" t="s">
        <v>61</v>
      </c>
      <c r="AA64" s="261" t="s">
        <v>61</v>
      </c>
      <c r="AB64" s="261" t="s">
        <v>61</v>
      </c>
      <c r="AC64" s="261" t="s">
        <v>61</v>
      </c>
      <c r="AD64" s="261" t="s">
        <v>61</v>
      </c>
      <c r="AE64" s="261" t="s">
        <v>61</v>
      </c>
      <c r="AF64" s="261" t="s">
        <v>61</v>
      </c>
      <c r="AG64" s="261" t="s">
        <v>61</v>
      </c>
      <c r="AH64" s="261" t="s">
        <v>61</v>
      </c>
      <c r="AI64" s="261" t="s">
        <v>61</v>
      </c>
      <c r="AJ64" s="261" t="s">
        <v>61</v>
      </c>
      <c r="AK64" s="244">
        <f t="shared" si="1"/>
        <v>0</v>
      </c>
      <c r="AL64" s="244">
        <f t="shared" si="2"/>
        <v>0</v>
      </c>
      <c r="AM64" s="244">
        <f t="shared" si="3"/>
        <v>0</v>
      </c>
      <c r="AN64" s="244">
        <f t="shared" si="4"/>
        <v>0</v>
      </c>
      <c r="AO64" s="244">
        <f t="shared" si="5"/>
        <v>0</v>
      </c>
      <c r="AP64" s="244">
        <f t="shared" si="6"/>
        <v>0</v>
      </c>
      <c r="AQ64" s="244">
        <f t="shared" si="7"/>
        <v>0</v>
      </c>
      <c r="AR64" s="244">
        <f t="shared" si="8"/>
        <v>0</v>
      </c>
      <c r="AS64" s="244">
        <f t="shared" si="9"/>
        <v>0</v>
      </c>
      <c r="AT64" s="244">
        <f t="shared" si="10"/>
        <v>0</v>
      </c>
      <c r="AU64" s="244">
        <f t="shared" si="11"/>
        <v>0</v>
      </c>
      <c r="AV64" s="244">
        <f t="shared" si="12"/>
        <v>0</v>
      </c>
      <c r="AW64" s="244">
        <f t="shared" si="13"/>
        <v>0</v>
      </c>
      <c r="AX64" s="244">
        <f t="shared" si="14"/>
        <v>0</v>
      </c>
      <c r="AY64" s="244">
        <f t="shared" si="15"/>
        <v>0</v>
      </c>
      <c r="AZ64" s="244">
        <f t="shared" si="16"/>
        <v>0</v>
      </c>
      <c r="BA64" s="244">
        <f t="shared" si="17"/>
        <v>0</v>
      </c>
      <c r="BB64" s="244">
        <f t="shared" si="18"/>
        <v>0</v>
      </c>
    </row>
    <row r="65" spans="1:54" x14ac:dyDescent="0.2">
      <c r="A65" s="143">
        <v>62</v>
      </c>
      <c r="B65" s="143">
        <v>414</v>
      </c>
      <c r="C65" s="184" t="s">
        <v>155</v>
      </c>
      <c r="D65" s="144" t="s">
        <v>207</v>
      </c>
      <c r="E65" s="144" t="s">
        <v>266</v>
      </c>
      <c r="F65" s="144" t="s">
        <v>277</v>
      </c>
      <c r="G65" s="144" t="s">
        <v>304</v>
      </c>
      <c r="H65" s="144" t="s">
        <v>330</v>
      </c>
      <c r="I65" s="145">
        <v>67</v>
      </c>
      <c r="J65" s="147" t="s">
        <v>98</v>
      </c>
      <c r="K65" s="147" t="s">
        <v>98</v>
      </c>
      <c r="L65" s="147" t="s">
        <v>98</v>
      </c>
      <c r="M65" s="147" t="s">
        <v>98</v>
      </c>
      <c r="N65" s="147" t="s">
        <v>98</v>
      </c>
      <c r="O65" s="147" t="s">
        <v>98</v>
      </c>
      <c r="P65" s="147" t="s">
        <v>98</v>
      </c>
      <c r="Q65" s="147" t="s">
        <v>98</v>
      </c>
      <c r="R65" s="146" t="s">
        <v>126</v>
      </c>
      <c r="S65" s="261" t="s">
        <v>61</v>
      </c>
      <c r="T65" s="261" t="s">
        <v>61</v>
      </c>
      <c r="U65" s="261" t="s">
        <v>61</v>
      </c>
      <c r="V65" s="261" t="s">
        <v>61</v>
      </c>
      <c r="W65" s="261" t="s">
        <v>61</v>
      </c>
      <c r="X65" s="261" t="s">
        <v>61</v>
      </c>
      <c r="Y65" s="261" t="s">
        <v>61</v>
      </c>
      <c r="Z65" s="261" t="s">
        <v>61</v>
      </c>
      <c r="AA65" s="261" t="s">
        <v>61</v>
      </c>
      <c r="AB65" s="261" t="s">
        <v>61</v>
      </c>
      <c r="AC65" s="261" t="s">
        <v>61</v>
      </c>
      <c r="AD65" s="261" t="s">
        <v>61</v>
      </c>
      <c r="AE65" s="261" t="s">
        <v>61</v>
      </c>
      <c r="AF65" s="261" t="s">
        <v>61</v>
      </c>
      <c r="AG65" s="261" t="s">
        <v>61</v>
      </c>
      <c r="AH65" s="261" t="s">
        <v>61</v>
      </c>
      <c r="AI65" s="261" t="s">
        <v>61</v>
      </c>
      <c r="AJ65" s="261" t="s">
        <v>61</v>
      </c>
      <c r="AK65" s="244">
        <f t="shared" si="1"/>
        <v>0</v>
      </c>
      <c r="AL65" s="244">
        <f t="shared" si="2"/>
        <v>0</v>
      </c>
      <c r="AM65" s="244">
        <f t="shared" si="3"/>
        <v>0</v>
      </c>
      <c r="AN65" s="244">
        <f t="shared" si="4"/>
        <v>0</v>
      </c>
      <c r="AO65" s="244">
        <f t="shared" si="5"/>
        <v>0</v>
      </c>
      <c r="AP65" s="244">
        <f t="shared" si="6"/>
        <v>0</v>
      </c>
      <c r="AQ65" s="244">
        <f t="shared" si="7"/>
        <v>0</v>
      </c>
      <c r="AR65" s="244">
        <f t="shared" si="8"/>
        <v>0</v>
      </c>
      <c r="AS65" s="244">
        <f t="shared" si="9"/>
        <v>0</v>
      </c>
      <c r="AT65" s="244">
        <f t="shared" si="10"/>
        <v>0</v>
      </c>
      <c r="AU65" s="244">
        <f t="shared" si="11"/>
        <v>0</v>
      </c>
      <c r="AV65" s="244">
        <f t="shared" si="12"/>
        <v>0</v>
      </c>
      <c r="AW65" s="244">
        <f t="shared" si="13"/>
        <v>0</v>
      </c>
      <c r="AX65" s="244">
        <f t="shared" si="14"/>
        <v>0</v>
      </c>
      <c r="AY65" s="244">
        <f t="shared" si="15"/>
        <v>0</v>
      </c>
      <c r="AZ65" s="244">
        <f t="shared" si="16"/>
        <v>0</v>
      </c>
      <c r="BA65" s="244">
        <f t="shared" si="17"/>
        <v>0</v>
      </c>
      <c r="BB65" s="244">
        <f t="shared" si="18"/>
        <v>0</v>
      </c>
    </row>
    <row r="66" spans="1:54" x14ac:dyDescent="0.2">
      <c r="A66" s="143">
        <v>63</v>
      </c>
      <c r="B66" s="143">
        <v>429</v>
      </c>
      <c r="C66" s="184" t="s">
        <v>155</v>
      </c>
      <c r="D66" s="144" t="s">
        <v>208</v>
      </c>
      <c r="E66" s="144" t="s">
        <v>267</v>
      </c>
      <c r="F66" s="144" t="s">
        <v>278</v>
      </c>
      <c r="G66" s="144" t="s">
        <v>287</v>
      </c>
      <c r="H66" s="144" t="s">
        <v>330</v>
      </c>
      <c r="I66" s="145">
        <v>49.8</v>
      </c>
      <c r="J66" s="147" t="s">
        <v>98</v>
      </c>
      <c r="K66" s="147" t="s">
        <v>98</v>
      </c>
      <c r="L66" s="147" t="s">
        <v>98</v>
      </c>
      <c r="M66" s="147" t="s">
        <v>98</v>
      </c>
      <c r="N66" s="147" t="s">
        <v>98</v>
      </c>
      <c r="O66" s="147" t="s">
        <v>98</v>
      </c>
      <c r="P66" s="147" t="s">
        <v>98</v>
      </c>
      <c r="Q66" s="147" t="s">
        <v>98</v>
      </c>
      <c r="R66" s="146" t="s">
        <v>126</v>
      </c>
      <c r="S66" s="261" t="s">
        <v>61</v>
      </c>
      <c r="T66" s="261" t="s">
        <v>61</v>
      </c>
      <c r="U66" s="261" t="s">
        <v>61</v>
      </c>
      <c r="V66" s="261" t="s">
        <v>61</v>
      </c>
      <c r="W66" s="261" t="s">
        <v>61</v>
      </c>
      <c r="X66" s="261" t="s">
        <v>61</v>
      </c>
      <c r="Y66" s="261" t="s">
        <v>61</v>
      </c>
      <c r="Z66" s="261" t="s">
        <v>61</v>
      </c>
      <c r="AA66" s="261" t="s">
        <v>61</v>
      </c>
      <c r="AB66" s="261" t="s">
        <v>61</v>
      </c>
      <c r="AC66" s="261" t="s">
        <v>61</v>
      </c>
      <c r="AD66" s="261" t="s">
        <v>61</v>
      </c>
      <c r="AE66" s="261" t="s">
        <v>61</v>
      </c>
      <c r="AF66" s="261" t="s">
        <v>61</v>
      </c>
      <c r="AG66" s="261" t="s">
        <v>61</v>
      </c>
      <c r="AH66" s="261" t="s">
        <v>61</v>
      </c>
      <c r="AI66" s="261" t="s">
        <v>61</v>
      </c>
      <c r="AJ66" s="261" t="s">
        <v>61</v>
      </c>
      <c r="AK66" s="244">
        <f t="shared" si="1"/>
        <v>0</v>
      </c>
      <c r="AL66" s="244">
        <f t="shared" si="2"/>
        <v>0</v>
      </c>
      <c r="AM66" s="244">
        <f t="shared" si="3"/>
        <v>0</v>
      </c>
      <c r="AN66" s="244">
        <f t="shared" si="4"/>
        <v>0</v>
      </c>
      <c r="AO66" s="244">
        <f t="shared" si="5"/>
        <v>0</v>
      </c>
      <c r="AP66" s="244">
        <f t="shared" si="6"/>
        <v>0</v>
      </c>
      <c r="AQ66" s="244">
        <f t="shared" si="7"/>
        <v>0</v>
      </c>
      <c r="AR66" s="244">
        <f t="shared" si="8"/>
        <v>0</v>
      </c>
      <c r="AS66" s="244">
        <f t="shared" si="9"/>
        <v>0</v>
      </c>
      <c r="AT66" s="244">
        <f t="shared" si="10"/>
        <v>0</v>
      </c>
      <c r="AU66" s="244">
        <f t="shared" si="11"/>
        <v>0</v>
      </c>
      <c r="AV66" s="244">
        <f t="shared" si="12"/>
        <v>0</v>
      </c>
      <c r="AW66" s="244">
        <f t="shared" si="13"/>
        <v>0</v>
      </c>
      <c r="AX66" s="244">
        <f t="shared" si="14"/>
        <v>0</v>
      </c>
      <c r="AY66" s="244">
        <f t="shared" si="15"/>
        <v>0</v>
      </c>
      <c r="AZ66" s="244">
        <f t="shared" si="16"/>
        <v>0</v>
      </c>
      <c r="BA66" s="244">
        <f t="shared" si="17"/>
        <v>0</v>
      </c>
      <c r="BB66" s="244">
        <f t="shared" si="18"/>
        <v>0</v>
      </c>
    </row>
    <row r="67" spans="1:54" x14ac:dyDescent="0.2">
      <c r="A67" s="143">
        <v>64</v>
      </c>
      <c r="B67" s="143">
        <v>633</v>
      </c>
      <c r="C67" s="184" t="s">
        <v>155</v>
      </c>
      <c r="D67" s="144" t="s">
        <v>209</v>
      </c>
      <c r="E67" s="144" t="s">
        <v>265</v>
      </c>
      <c r="F67" s="144" t="s">
        <v>274</v>
      </c>
      <c r="G67" s="144" t="s">
        <v>308</v>
      </c>
      <c r="H67" s="144" t="s">
        <v>330</v>
      </c>
      <c r="I67" s="145">
        <v>36</v>
      </c>
      <c r="J67" s="147" t="s">
        <v>98</v>
      </c>
      <c r="K67" s="147" t="s">
        <v>98</v>
      </c>
      <c r="L67" s="147" t="s">
        <v>98</v>
      </c>
      <c r="M67" s="147" t="s">
        <v>98</v>
      </c>
      <c r="N67" s="147" t="s">
        <v>98</v>
      </c>
      <c r="O67" s="147" t="s">
        <v>98</v>
      </c>
      <c r="P67" s="147" t="s">
        <v>98</v>
      </c>
      <c r="Q67" s="147" t="s">
        <v>98</v>
      </c>
      <c r="R67" s="146" t="s">
        <v>126</v>
      </c>
      <c r="S67" s="261" t="s">
        <v>61</v>
      </c>
      <c r="T67" s="261" t="s">
        <v>61</v>
      </c>
      <c r="U67" s="261" t="s">
        <v>61</v>
      </c>
      <c r="V67" s="261" t="s">
        <v>61</v>
      </c>
      <c r="W67" s="261" t="s">
        <v>61</v>
      </c>
      <c r="X67" s="261" t="s">
        <v>61</v>
      </c>
      <c r="Y67" s="261" t="s">
        <v>61</v>
      </c>
      <c r="Z67" s="261" t="s">
        <v>61</v>
      </c>
      <c r="AA67" s="261" t="s">
        <v>61</v>
      </c>
      <c r="AB67" s="261" t="s">
        <v>61</v>
      </c>
      <c r="AC67" s="261" t="s">
        <v>61</v>
      </c>
      <c r="AD67" s="261" t="s">
        <v>61</v>
      </c>
      <c r="AE67" s="261" t="s">
        <v>61</v>
      </c>
      <c r="AF67" s="261" t="s">
        <v>61</v>
      </c>
      <c r="AG67" s="261" t="s">
        <v>61</v>
      </c>
      <c r="AH67" s="261" t="s">
        <v>61</v>
      </c>
      <c r="AI67" s="261" t="s">
        <v>61</v>
      </c>
      <c r="AJ67" s="261" t="s">
        <v>61</v>
      </c>
      <c r="AK67" s="244">
        <f t="shared" si="1"/>
        <v>0</v>
      </c>
      <c r="AL67" s="244">
        <f t="shared" si="2"/>
        <v>0</v>
      </c>
      <c r="AM67" s="244">
        <f t="shared" si="3"/>
        <v>0</v>
      </c>
      <c r="AN67" s="244">
        <f t="shared" si="4"/>
        <v>0</v>
      </c>
      <c r="AO67" s="244">
        <f t="shared" si="5"/>
        <v>0</v>
      </c>
      <c r="AP67" s="244">
        <f t="shared" si="6"/>
        <v>0</v>
      </c>
      <c r="AQ67" s="244">
        <f t="shared" si="7"/>
        <v>0</v>
      </c>
      <c r="AR67" s="244">
        <f t="shared" si="8"/>
        <v>0</v>
      </c>
      <c r="AS67" s="244">
        <f t="shared" si="9"/>
        <v>0</v>
      </c>
      <c r="AT67" s="244">
        <f t="shared" si="10"/>
        <v>0</v>
      </c>
      <c r="AU67" s="244">
        <f t="shared" si="11"/>
        <v>0</v>
      </c>
      <c r="AV67" s="244">
        <f t="shared" si="12"/>
        <v>0</v>
      </c>
      <c r="AW67" s="244">
        <f t="shared" si="13"/>
        <v>0</v>
      </c>
      <c r="AX67" s="244">
        <f t="shared" si="14"/>
        <v>0</v>
      </c>
      <c r="AY67" s="244">
        <f t="shared" si="15"/>
        <v>0</v>
      </c>
      <c r="AZ67" s="244">
        <f t="shared" si="16"/>
        <v>0</v>
      </c>
      <c r="BA67" s="244">
        <f t="shared" si="17"/>
        <v>0</v>
      </c>
      <c r="BB67" s="244">
        <f t="shared" si="18"/>
        <v>0</v>
      </c>
    </row>
  </sheetData>
  <autoFilter ref="A3:BB3" xr:uid="{66224405-87E8-47F3-B299-B11DDB6A7EAC}"/>
  <dataConsolidate/>
  <mergeCells count="19">
    <mergeCell ref="Z2:AB2"/>
    <mergeCell ref="AC2:AD2"/>
    <mergeCell ref="AE2:AF2"/>
    <mergeCell ref="AK1:BB1"/>
    <mergeCell ref="S1:AJ1"/>
    <mergeCell ref="A1:R2"/>
    <mergeCell ref="AK2:AL2"/>
    <mergeCell ref="AN2:AO2"/>
    <mergeCell ref="AP2:AQ2"/>
    <mergeCell ref="AR2:AT2"/>
    <mergeCell ref="AU2:AV2"/>
    <mergeCell ref="AW2:AX2"/>
    <mergeCell ref="AY2:AZ2"/>
    <mergeCell ref="BA2:BB2"/>
    <mergeCell ref="AG2:AH2"/>
    <mergeCell ref="AI2:AJ2"/>
    <mergeCell ref="S2:T2"/>
    <mergeCell ref="V2:W2"/>
    <mergeCell ref="X2:Y2"/>
  </mergeCells>
  <conditionalFormatting sqref="S1:AJ1048576">
    <cfRule type="containsText" dxfId="7" priority="1" operator="containsText" text="N/A">
      <formula>NOT(ISERROR(SEARCH("N/A",S1)))</formula>
    </cfRule>
    <cfRule type="containsText" dxfId="6" priority="2" operator="containsText" text="Liberado">
      <formula>NOT(ISERROR(SEARCH("Liberado",S1)))</formula>
    </cfRule>
    <cfRule type="containsText" dxfId="5" priority="3" operator="containsText" text="En dictaminación">
      <formula>NOT(ISERROR(SEARCH("En dictaminación",S1)))</formula>
    </cfRule>
    <cfRule type="containsText" dxfId="4" priority="4" operator="containsText" text="En actualización">
      <formula>NOT(ISERROR(SEARCH("En actualización",S1)))</formula>
    </cfRule>
    <cfRule type="containsText" dxfId="3" priority="5" operator="containsText" text="Requerimiento">
      <formula>NOT(ISERROR(SEARCH("Requerimiento",S1)))</formula>
    </cfRule>
    <cfRule type="containsText" dxfId="2" priority="6" operator="containsText" text="En evaluación">
      <formula>NOT(ISERROR(SEARCH("En evaluación",S1)))</formula>
    </cfRule>
    <cfRule type="containsText" dxfId="1" priority="7" operator="containsText" text="Pendiente">
      <formula>NOT(ISERROR(SEARCH("Pendiente",S1)))</formula>
    </cfRule>
    <cfRule type="containsText" dxfId="0" priority="8" operator="containsText" text="En elaboración">
      <formula>NOT(ISERROR(SEARCH("En elaboración",S1)))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BE9602-C368-45F8-B931-CE16D5708815}">
          <x14:formula1>
            <xm:f>REGLAS!$C$2:$C$9</xm:f>
          </x14:formula1>
          <xm:sqref>S4:AJ67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E642-F6A1-45E6-BB7D-D204B631784C}">
  <dimension ref="A1:F20"/>
  <sheetViews>
    <sheetView workbookViewId="0">
      <selection activeCell="D14" sqref="D14"/>
    </sheetView>
  </sheetViews>
  <sheetFormatPr baseColWidth="10" defaultRowHeight="12.75" x14ac:dyDescent="0.2"/>
  <cols>
    <col min="1" max="1" width="10.42578125" bestFit="1" customWidth="1"/>
    <col min="2" max="2" width="9.28515625" bestFit="1" customWidth="1"/>
    <col min="3" max="3" width="31.7109375" bestFit="1" customWidth="1"/>
    <col min="4" max="4" width="112.5703125" bestFit="1" customWidth="1"/>
    <col min="5" max="5" width="10.85546875" bestFit="1" customWidth="1"/>
    <col min="6" max="6" width="17.85546875" bestFit="1" customWidth="1"/>
  </cols>
  <sheetData>
    <row r="1" spans="1:6" ht="15.75" thickBot="1" x14ac:dyDescent="0.25">
      <c r="A1" s="148" t="s">
        <v>140</v>
      </c>
      <c r="B1" s="148" t="s">
        <v>366</v>
      </c>
      <c r="C1" s="148" t="s">
        <v>127</v>
      </c>
      <c r="D1" s="148" t="s">
        <v>128</v>
      </c>
      <c r="E1" s="156" t="s">
        <v>129</v>
      </c>
      <c r="F1" s="156" t="s">
        <v>148</v>
      </c>
    </row>
    <row r="2" spans="1:6" x14ac:dyDescent="0.2">
      <c r="A2" s="164" t="s">
        <v>130</v>
      </c>
      <c r="B2" s="250" t="s">
        <v>370</v>
      </c>
      <c r="C2" s="171" t="s">
        <v>61</v>
      </c>
      <c r="D2" s="149" t="s">
        <v>131</v>
      </c>
      <c r="E2" s="157">
        <v>0</v>
      </c>
      <c r="F2" s="178" t="s">
        <v>145</v>
      </c>
    </row>
    <row r="3" spans="1:6" x14ac:dyDescent="0.2">
      <c r="A3" s="165" t="s">
        <v>132</v>
      </c>
      <c r="B3" s="249" t="s">
        <v>369</v>
      </c>
      <c r="C3" s="172" t="s">
        <v>100</v>
      </c>
      <c r="D3" s="150" t="s">
        <v>133</v>
      </c>
      <c r="E3" s="158">
        <v>0.2</v>
      </c>
      <c r="F3" s="179" t="s">
        <v>146</v>
      </c>
    </row>
    <row r="4" spans="1:6" x14ac:dyDescent="0.2">
      <c r="A4" s="166" t="s">
        <v>134</v>
      </c>
      <c r="B4" s="248" t="s">
        <v>368</v>
      </c>
      <c r="C4" s="173" t="s">
        <v>102</v>
      </c>
      <c r="D4" s="151" t="s">
        <v>135</v>
      </c>
      <c r="E4" s="159">
        <v>0.5</v>
      </c>
      <c r="F4" s="180" t="s">
        <v>147</v>
      </c>
    </row>
    <row r="5" spans="1:6" x14ac:dyDescent="0.2">
      <c r="A5" s="167" t="s">
        <v>136</v>
      </c>
      <c r="B5" s="247" t="s">
        <v>367</v>
      </c>
      <c r="C5" s="174" t="s">
        <v>363</v>
      </c>
      <c r="D5" s="152" t="s">
        <v>141</v>
      </c>
      <c r="E5" s="160">
        <v>0.75</v>
      </c>
      <c r="F5" s="181" t="s">
        <v>149</v>
      </c>
    </row>
    <row r="6" spans="1:6" x14ac:dyDescent="0.2">
      <c r="A6" s="167" t="s">
        <v>136</v>
      </c>
      <c r="B6" s="247" t="s">
        <v>367</v>
      </c>
      <c r="C6" s="174" t="s">
        <v>101</v>
      </c>
      <c r="D6" s="152" t="s">
        <v>141</v>
      </c>
      <c r="E6" s="160">
        <v>0.75</v>
      </c>
      <c r="F6" s="181" t="s">
        <v>149</v>
      </c>
    </row>
    <row r="7" spans="1:6" x14ac:dyDescent="0.2">
      <c r="A7" s="168" t="s">
        <v>142</v>
      </c>
      <c r="B7" s="246" t="s">
        <v>365</v>
      </c>
      <c r="C7" s="175" t="s">
        <v>371</v>
      </c>
      <c r="D7" s="153" t="s">
        <v>143</v>
      </c>
      <c r="E7" s="161">
        <v>0.85</v>
      </c>
      <c r="F7" s="161" t="s">
        <v>150</v>
      </c>
    </row>
    <row r="8" spans="1:6" x14ac:dyDescent="0.2">
      <c r="A8" s="169" t="s">
        <v>137</v>
      </c>
      <c r="B8" s="263" t="s">
        <v>364</v>
      </c>
      <c r="C8" s="176" t="s">
        <v>54</v>
      </c>
      <c r="D8" s="154" t="s">
        <v>138</v>
      </c>
      <c r="E8" s="162">
        <v>1</v>
      </c>
      <c r="F8" s="182" t="s">
        <v>151</v>
      </c>
    </row>
    <row r="9" spans="1:6" ht="13.5" thickBot="1" x14ac:dyDescent="0.25">
      <c r="A9" s="170" t="s">
        <v>137</v>
      </c>
      <c r="B9" s="245" t="s">
        <v>364</v>
      </c>
      <c r="C9" s="177" t="s">
        <v>53</v>
      </c>
      <c r="D9" s="155" t="s">
        <v>139</v>
      </c>
      <c r="E9" s="163">
        <v>1</v>
      </c>
      <c r="F9" s="183" t="s">
        <v>151</v>
      </c>
    </row>
    <row r="11" spans="1:6" ht="13.5" thickBot="1" x14ac:dyDescent="0.25"/>
    <row r="12" spans="1:6" x14ac:dyDescent="0.2">
      <c r="C12" s="251" t="s">
        <v>61</v>
      </c>
      <c r="D12" s="258">
        <f>IF(C12="Pendiente",0%,IF(C12="En elaboración",20%,IF(C12="En evaluación",50%,IF(C12="Requerimiento",75%,IF(C12="En actualización",75%,IF(C12="En dictaminación",85%,IF(C12="Liberado",100%,IF(C12="N/A",100%,"ERROR"))))))))</f>
        <v>0</v>
      </c>
    </row>
    <row r="13" spans="1:6" x14ac:dyDescent="0.2">
      <c r="C13" s="252" t="s">
        <v>100</v>
      </c>
      <c r="D13" s="259">
        <f t="shared" ref="D13:D20" si="0">IF(C13="Pendiente",0%,IF(C13="En elaboración",20%,IF(C13="En evaluación",50%,IF(C13="Requerimiento",75%,IF(C13="En actualización",75%,IF(C13="En dictaminación",85%,IF(C13="Liberado",100%,IF(C13="N/A",100%,"ERROR"))))))))</f>
        <v>0.2</v>
      </c>
    </row>
    <row r="14" spans="1:6" x14ac:dyDescent="0.2">
      <c r="C14" s="253" t="s">
        <v>102</v>
      </c>
      <c r="D14" s="259">
        <f t="shared" si="0"/>
        <v>0.5</v>
      </c>
    </row>
    <row r="15" spans="1:6" x14ac:dyDescent="0.2">
      <c r="C15" s="254" t="s">
        <v>144</v>
      </c>
      <c r="D15" s="259" t="str">
        <f t="shared" si="0"/>
        <v>ERROR</v>
      </c>
    </row>
    <row r="16" spans="1:6" x14ac:dyDescent="0.2">
      <c r="C16" s="254" t="s">
        <v>363</v>
      </c>
      <c r="D16" s="259">
        <f t="shared" si="0"/>
        <v>0.75</v>
      </c>
    </row>
    <row r="17" spans="3:4" x14ac:dyDescent="0.2">
      <c r="C17" s="254" t="s">
        <v>101</v>
      </c>
      <c r="D17" s="259">
        <f t="shared" si="0"/>
        <v>0.75</v>
      </c>
    </row>
    <row r="18" spans="3:4" x14ac:dyDescent="0.2">
      <c r="C18" s="255" t="s">
        <v>371</v>
      </c>
      <c r="D18" s="259">
        <f t="shared" si="0"/>
        <v>0.85</v>
      </c>
    </row>
    <row r="19" spans="3:4" x14ac:dyDescent="0.2">
      <c r="C19" s="256" t="s">
        <v>54</v>
      </c>
      <c r="D19" s="259">
        <f t="shared" si="0"/>
        <v>1</v>
      </c>
    </row>
    <row r="20" spans="3:4" ht="13.5" thickBot="1" x14ac:dyDescent="0.25">
      <c r="C20" s="257" t="s">
        <v>53</v>
      </c>
      <c r="D20" s="260">
        <f t="shared" si="0"/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7455e9-c73f-45d7-ad9e-430426491df9}" enabled="0" method="" siteId="{d57455e9-c73f-45d7-ad9e-430426491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Resumen Ejecutivo</vt:lpstr>
      <vt:lpstr>Proyectos ok</vt:lpstr>
      <vt:lpstr>Base valores</vt:lpstr>
      <vt:lpstr>BASE_DE_DATOS</vt:lpstr>
      <vt:lpstr>REGLAS</vt:lpstr>
      <vt:lpstr>'Base valores'!Área_de_impresión</vt:lpstr>
      <vt:lpstr>'Proyectos ok'!Área_de_impresión</vt:lpstr>
      <vt:lpstr>'Resumen Ejecutivo'!Área_de_impresión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CPEL</dc:creator>
  <cp:keywords/>
  <dc:description/>
  <cp:lastModifiedBy>CRISTOFER MARTI HERNANDEZ AGUILAR</cp:lastModifiedBy>
  <cp:revision/>
  <cp:lastPrinted>2026-10-21T00:11:04Z</cp:lastPrinted>
  <dcterms:created xsi:type="dcterms:W3CDTF">2009-02-16T20:36:14Z</dcterms:created>
  <dcterms:modified xsi:type="dcterms:W3CDTF">2026-10-27T20:43:48Z</dcterms:modified>
  <cp:category/>
  <cp:contentStatus/>
</cp:coreProperties>
</file>