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EL-PROYECTOS\MIXTOS\REUNIONES_SEMANALES_RESPALDO\"/>
    </mc:Choice>
  </mc:AlternateContent>
  <xr:revisionPtr revIDLastSave="0" documentId="13_ncr:1_{CF0A487C-8DF7-4176-B8D2-640158FBDCCF}" xr6:coauthVersionLast="47" xr6:coauthVersionMax="47" xr10:uidLastSave="{00000000-0000-0000-0000-000000000000}"/>
  <bookViews>
    <workbookView xWindow="-120" yWindow="-120" windowWidth="29040" windowHeight="15720" tabRatio="724" xr2:uid="{00000000-000D-0000-FFFF-FFFF00000000}"/>
  </bookViews>
  <sheets>
    <sheet name="CAPEX" sheetId="120" r:id="rId1"/>
  </sheets>
  <definedNames>
    <definedName name="_xlnm._FilterDatabase" localSheetId="0" hidden="1">CAPEX!$A$1:$BQ$41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0" l="1"/>
  <c r="AF4" i="120"/>
  <c r="AF5" i="120"/>
  <c r="AF6" i="120"/>
  <c r="AF7" i="120"/>
  <c r="AF8" i="120"/>
  <c r="AF9" i="120"/>
  <c r="AF10" i="120"/>
  <c r="AF11" i="120"/>
  <c r="AF12" i="120"/>
  <c r="AF13" i="120"/>
  <c r="AF14" i="120"/>
  <c r="AF15" i="120"/>
  <c r="AF16" i="120"/>
  <c r="AF17" i="120"/>
  <c r="AF18" i="120"/>
  <c r="AF19" i="120"/>
  <c r="AF20" i="120"/>
  <c r="AF21" i="120"/>
  <c r="AF22" i="120"/>
  <c r="AF23" i="120"/>
  <c r="AF24" i="120"/>
  <c r="AF25" i="120"/>
  <c r="AF26" i="120"/>
  <c r="AF27" i="120"/>
  <c r="AF28" i="120"/>
  <c r="AF29" i="120"/>
  <c r="AF30" i="120"/>
  <c r="AF31" i="120"/>
  <c r="AF32" i="120"/>
  <c r="AF33" i="120"/>
  <c r="AF34" i="120"/>
  <c r="AF35" i="120"/>
  <c r="AF36" i="120"/>
  <c r="AF37" i="120"/>
  <c r="AF38" i="120"/>
  <c r="AF39" i="120"/>
  <c r="AF40" i="120"/>
  <c r="AF41" i="120"/>
  <c r="AF2" i="120"/>
  <c r="AE3" i="120"/>
  <c r="AE4" i="120"/>
  <c r="AE5" i="120"/>
  <c r="AE6" i="120"/>
  <c r="AE7" i="120"/>
  <c r="AE8" i="120"/>
  <c r="AE9" i="120"/>
  <c r="AE10" i="120"/>
  <c r="AE11" i="120"/>
  <c r="AE12" i="120"/>
  <c r="AE13" i="120"/>
  <c r="AE14" i="120"/>
  <c r="AE15" i="120"/>
  <c r="AE16" i="120"/>
  <c r="AE17" i="120"/>
  <c r="AE18" i="120"/>
  <c r="AE19" i="120"/>
  <c r="AE20" i="120"/>
  <c r="AE21" i="120"/>
  <c r="AE22" i="120"/>
  <c r="AE23" i="120"/>
  <c r="AE24" i="120"/>
  <c r="AE25" i="120"/>
  <c r="AE26" i="120"/>
  <c r="AE27" i="120"/>
  <c r="AE28" i="120"/>
  <c r="AE29" i="120"/>
  <c r="AE30" i="120"/>
  <c r="AE31" i="120"/>
  <c r="AE32" i="120"/>
  <c r="AE33" i="120"/>
  <c r="AE34" i="120"/>
  <c r="AE35" i="120"/>
  <c r="AE36" i="120"/>
  <c r="AE37" i="120"/>
  <c r="AE38" i="120"/>
  <c r="AE39" i="120"/>
  <c r="AE40" i="120"/>
  <c r="AE41" i="120"/>
  <c r="AE2" i="120"/>
  <c r="T25" i="120"/>
  <c r="U25" i="120" s="1"/>
  <c r="V25" i="120"/>
  <c r="W25" i="120" s="1"/>
  <c r="X25" i="120" s="1"/>
  <c r="Y25" i="120"/>
  <c r="Z25" i="120"/>
  <c r="P49" i="120"/>
  <c r="P48" i="120"/>
  <c r="P47" i="120"/>
  <c r="P44" i="120"/>
  <c r="P43" i="120"/>
  <c r="Z10" i="120"/>
  <c r="Y10" i="120"/>
  <c r="V10" i="120"/>
  <c r="W10" i="120" s="1"/>
  <c r="X10" i="120" s="1"/>
  <c r="T10" i="120"/>
  <c r="U10" i="120" s="1"/>
  <c r="V9" i="120"/>
  <c r="W9" i="120" s="1"/>
  <c r="X9" i="120" s="1"/>
  <c r="Z9" i="120"/>
  <c r="T9" i="120"/>
  <c r="U9" i="120" s="1"/>
  <c r="Y9" i="120"/>
  <c r="P45" i="120"/>
  <c r="Z36" i="120"/>
  <c r="Y36" i="120"/>
  <c r="V36" i="120"/>
  <c r="W36" i="120" s="1"/>
  <c r="X36" i="120" s="1"/>
  <c r="T36" i="120"/>
  <c r="U36" i="120" s="1"/>
  <c r="Z35" i="120"/>
  <c r="Y35" i="120"/>
  <c r="V35" i="120"/>
  <c r="W35" i="120" s="1"/>
  <c r="X35" i="120" s="1"/>
  <c r="T35" i="120"/>
  <c r="U35" i="120" s="1"/>
  <c r="Z12" i="120"/>
  <c r="Y12" i="120"/>
  <c r="V12" i="120"/>
  <c r="W12" i="120" s="1"/>
  <c r="X12" i="120" s="1"/>
  <c r="T12" i="120"/>
  <c r="U12" i="120" s="1"/>
  <c r="Z13" i="120"/>
  <c r="Y13" i="120"/>
  <c r="V13" i="120"/>
  <c r="W13" i="120" s="1"/>
  <c r="X13" i="120" s="1"/>
  <c r="T13" i="120"/>
  <c r="U13" i="120" s="1"/>
  <c r="Z11" i="120"/>
  <c r="Y11" i="120"/>
  <c r="V11" i="120"/>
  <c r="W11" i="120" s="1"/>
  <c r="X11" i="120" s="1"/>
  <c r="T11" i="120"/>
  <c r="U11" i="120" s="1"/>
  <c r="Z29" i="120"/>
  <c r="Y29" i="120"/>
  <c r="V29" i="120"/>
  <c r="W29" i="120" s="1"/>
  <c r="X29" i="120" s="1"/>
  <c r="T29" i="120"/>
  <c r="U29" i="120" s="1"/>
  <c r="Z5" i="120"/>
  <c r="Y5" i="120"/>
  <c r="V5" i="120"/>
  <c r="W5" i="120" s="1"/>
  <c r="X5" i="120" s="1"/>
  <c r="T5" i="120"/>
  <c r="U5" i="120" s="1"/>
  <c r="Z8" i="120"/>
  <c r="Y8" i="120"/>
  <c r="V8" i="120"/>
  <c r="W8" i="120" s="1"/>
  <c r="X8" i="120" s="1"/>
  <c r="T8" i="120"/>
  <c r="U8" i="120" s="1"/>
  <c r="Z33" i="120"/>
  <c r="Y33" i="120"/>
  <c r="V33" i="120"/>
  <c r="W33" i="120" s="1"/>
  <c r="X33" i="120" s="1"/>
  <c r="T33" i="120"/>
  <c r="U33" i="120" s="1"/>
  <c r="Z2" i="120"/>
  <c r="Y2" i="120"/>
  <c r="V2" i="120"/>
  <c r="W2" i="120" s="1"/>
  <c r="X2" i="120" s="1"/>
  <c r="T2" i="120"/>
  <c r="U2" i="120" s="1"/>
  <c r="Z41" i="120"/>
  <c r="Y41" i="120"/>
  <c r="V41" i="120"/>
  <c r="W41" i="120" s="1"/>
  <c r="X41" i="120" s="1"/>
  <c r="T41" i="120"/>
  <c r="U41" i="120" s="1"/>
  <c r="Z39" i="120"/>
  <c r="Y39" i="120"/>
  <c r="V39" i="120"/>
  <c r="W39" i="120" s="1"/>
  <c r="X39" i="120" s="1"/>
  <c r="T39" i="120"/>
  <c r="U39" i="120" s="1"/>
  <c r="Z38" i="120"/>
  <c r="Y38" i="120"/>
  <c r="V38" i="120"/>
  <c r="W38" i="120" s="1"/>
  <c r="X38" i="120" s="1"/>
  <c r="T38" i="120"/>
  <c r="U38" i="120" s="1"/>
  <c r="Z7" i="120"/>
  <c r="Y7" i="120"/>
  <c r="V7" i="120"/>
  <c r="W7" i="120" s="1"/>
  <c r="X7" i="120" s="1"/>
  <c r="T7" i="120"/>
  <c r="U7" i="120" s="1"/>
  <c r="Z6" i="120"/>
  <c r="Y6" i="120"/>
  <c r="V6" i="120"/>
  <c r="W6" i="120" s="1"/>
  <c r="X6" i="120" s="1"/>
  <c r="T6" i="120"/>
  <c r="U6" i="120" s="1"/>
  <c r="Z4" i="120"/>
  <c r="Y4" i="120"/>
  <c r="V4" i="120"/>
  <c r="W4" i="120" s="1"/>
  <c r="X4" i="120" s="1"/>
  <c r="T4" i="120"/>
  <c r="U4" i="120" s="1"/>
  <c r="Z14" i="120"/>
  <c r="Y14" i="120"/>
  <c r="V14" i="120"/>
  <c r="W14" i="120" s="1"/>
  <c r="X14" i="120" s="1"/>
  <c r="T14" i="120"/>
  <c r="U14" i="120" s="1"/>
  <c r="Z18" i="120"/>
  <c r="Y18" i="120"/>
  <c r="V18" i="120"/>
  <c r="W18" i="120" s="1"/>
  <c r="X18" i="120" s="1"/>
  <c r="T18" i="120"/>
  <c r="U18" i="120" s="1"/>
  <c r="Z17" i="120"/>
  <c r="Y17" i="120"/>
  <c r="V17" i="120"/>
  <c r="W17" i="120" s="1"/>
  <c r="X17" i="120" s="1"/>
  <c r="T17" i="120"/>
  <c r="U17" i="120" s="1"/>
  <c r="Z15" i="120"/>
  <c r="Y15" i="120"/>
  <c r="V15" i="120"/>
  <c r="W15" i="120" s="1"/>
  <c r="X15" i="120" s="1"/>
  <c r="T15" i="120"/>
  <c r="U15" i="120" s="1"/>
  <c r="Z16" i="120"/>
  <c r="Y16" i="120"/>
  <c r="V16" i="120"/>
  <c r="W16" i="120" s="1"/>
  <c r="X16" i="120" s="1"/>
  <c r="T16" i="120"/>
  <c r="U16" i="120" s="1"/>
  <c r="Z19" i="120"/>
  <c r="Y19" i="120"/>
  <c r="V19" i="120"/>
  <c r="W19" i="120" s="1"/>
  <c r="X19" i="120" s="1"/>
  <c r="T19" i="120"/>
  <c r="U19" i="120" s="1"/>
  <c r="Z21" i="120"/>
  <c r="Y21" i="120"/>
  <c r="V21" i="120"/>
  <c r="W21" i="120" s="1"/>
  <c r="X21" i="120" s="1"/>
  <c r="T21" i="120"/>
  <c r="U21" i="120" s="1"/>
  <c r="Z20" i="120"/>
  <c r="Y20" i="120"/>
  <c r="V20" i="120"/>
  <c r="W20" i="120" s="1"/>
  <c r="X20" i="120" s="1"/>
  <c r="T20" i="120"/>
  <c r="U20" i="120" s="1"/>
  <c r="Z22" i="120"/>
  <c r="Y22" i="120"/>
  <c r="V22" i="120"/>
  <c r="W22" i="120" s="1"/>
  <c r="X22" i="120" s="1"/>
  <c r="T22" i="120"/>
  <c r="U22" i="120" s="1"/>
  <c r="Z34" i="120"/>
  <c r="Y34" i="120"/>
  <c r="V34" i="120"/>
  <c r="W34" i="120" s="1"/>
  <c r="X34" i="120" s="1"/>
  <c r="T34" i="120"/>
  <c r="U34" i="120" s="1"/>
  <c r="Z24" i="120"/>
  <c r="Y24" i="120"/>
  <c r="V24" i="120"/>
  <c r="W24" i="120" s="1"/>
  <c r="X24" i="120" s="1"/>
  <c r="T24" i="120"/>
  <c r="U24" i="120" s="1"/>
  <c r="Z23" i="120"/>
  <c r="Y23" i="120"/>
  <c r="V23" i="120"/>
  <c r="W23" i="120" s="1"/>
  <c r="X23" i="120" s="1"/>
  <c r="T23" i="120"/>
  <c r="U23" i="120" s="1"/>
  <c r="Z30" i="120"/>
  <c r="Y30" i="120"/>
  <c r="V30" i="120"/>
  <c r="W30" i="120" s="1"/>
  <c r="X30" i="120" s="1"/>
  <c r="T30" i="120"/>
  <c r="U30" i="120" s="1"/>
  <c r="Z31" i="120"/>
  <c r="Y31" i="120"/>
  <c r="V31" i="120"/>
  <c r="W31" i="120" s="1"/>
  <c r="X31" i="120" s="1"/>
  <c r="T31" i="120"/>
  <c r="U31" i="120" s="1"/>
  <c r="Z32" i="120"/>
  <c r="Y32" i="120"/>
  <c r="V32" i="120"/>
  <c r="W32" i="120" s="1"/>
  <c r="X32" i="120" s="1"/>
  <c r="T32" i="120"/>
  <c r="U32" i="120" s="1"/>
  <c r="Z37" i="120"/>
  <c r="Y37" i="120"/>
  <c r="V37" i="120"/>
  <c r="W37" i="120" s="1"/>
  <c r="X37" i="120" s="1"/>
  <c r="T37" i="120"/>
  <c r="U37" i="120" s="1"/>
  <c r="Z40" i="120"/>
  <c r="Y40" i="120"/>
  <c r="V40" i="120"/>
  <c r="W40" i="120" s="1"/>
  <c r="X40" i="120" s="1"/>
  <c r="T40" i="120"/>
  <c r="U40" i="120" s="1"/>
  <c r="Z3" i="120"/>
  <c r="Y3" i="120"/>
  <c r="V3" i="120"/>
  <c r="W3" i="120" s="1"/>
  <c r="X3" i="120" s="1"/>
  <c r="T3" i="120"/>
  <c r="U3" i="120" s="1"/>
  <c r="Z28" i="120"/>
  <c r="Y28" i="120"/>
  <c r="V28" i="120"/>
  <c r="W28" i="120" s="1"/>
  <c r="X28" i="120" s="1"/>
  <c r="T28" i="120"/>
  <c r="U28" i="120" s="1"/>
  <c r="Z27" i="120"/>
  <c r="Y27" i="120"/>
  <c r="V27" i="120"/>
  <c r="W27" i="120" s="1"/>
  <c r="X27" i="120" s="1"/>
  <c r="T27" i="120"/>
  <c r="U27" i="120" s="1"/>
  <c r="Z26" i="120"/>
  <c r="Y26" i="120"/>
  <c r="V26" i="120"/>
  <c r="W26" i="120" s="1"/>
  <c r="X26" i="120" s="1"/>
  <c r="T26" i="120"/>
  <c r="U26" i="120" s="1"/>
  <c r="AG3" i="120" l="1"/>
  <c r="AG4" i="120"/>
  <c r="AG5" i="120"/>
  <c r="AG6" i="120"/>
  <c r="AG7" i="120"/>
  <c r="AG8" i="120"/>
  <c r="AG9" i="120"/>
  <c r="AG10" i="120"/>
  <c r="AG11" i="120"/>
  <c r="AG12" i="120"/>
  <c r="AG13" i="120"/>
  <c r="AG14" i="120"/>
  <c r="AG15" i="120"/>
  <c r="AG16" i="120"/>
  <c r="AG17" i="120"/>
  <c r="AG18" i="120"/>
  <c r="AG19" i="120"/>
  <c r="AG20" i="120"/>
  <c r="AG21" i="120"/>
  <c r="AG22" i="120"/>
  <c r="AG23" i="120"/>
  <c r="AG24" i="120"/>
  <c r="AG25" i="120"/>
  <c r="AG26" i="120"/>
  <c r="AG27" i="120"/>
  <c r="AG28" i="120"/>
  <c r="AG29" i="120"/>
  <c r="AG30" i="120"/>
  <c r="AG31" i="120"/>
  <c r="AG32" i="120"/>
  <c r="AG33" i="120"/>
  <c r="AG34" i="120"/>
  <c r="AG35" i="120"/>
  <c r="AG36" i="120"/>
  <c r="AG37" i="120"/>
  <c r="AG38" i="120"/>
  <c r="AG39" i="120"/>
  <c r="AG40" i="120"/>
  <c r="AG41" i="120"/>
  <c r="AG2" i="120"/>
  <c r="P53" i="120"/>
  <c r="P52" i="120"/>
  <c r="P51" i="120"/>
</calcChain>
</file>

<file path=xl/sharedStrings.xml><?xml version="1.0" encoding="utf-8"?>
<sst xmlns="http://schemas.openxmlformats.org/spreadsheetml/2006/main" count="1345" uniqueCount="389">
  <si>
    <t>Socio</t>
  </si>
  <si>
    <t>Capacidad</t>
  </si>
  <si>
    <t>Parque</t>
  </si>
  <si>
    <t>LT</t>
  </si>
  <si>
    <t>Global</t>
  </si>
  <si>
    <t>San Simón Solar</t>
  </si>
  <si>
    <t>80 MW + 30% BESS</t>
  </si>
  <si>
    <t>N/A</t>
  </si>
  <si>
    <t>Liberado</t>
  </si>
  <si>
    <t>San Pedro Solar</t>
  </si>
  <si>
    <t>98.2 MW + 30% BESS</t>
  </si>
  <si>
    <t>Energías Renovables de Tamaulipas (Altamira)</t>
  </si>
  <si>
    <t>Altamira</t>
  </si>
  <si>
    <t>78 MW + 30% BESS</t>
  </si>
  <si>
    <t>Álvaro Obregón</t>
  </si>
  <si>
    <t>La Paz</t>
  </si>
  <si>
    <t>90 MW + 100% BESS</t>
  </si>
  <si>
    <t>Selka Power Plant 1</t>
  </si>
  <si>
    <t>Romita</t>
  </si>
  <si>
    <t>141.4 MW + 30% BESS</t>
  </si>
  <si>
    <t>Concepción Mendizábal M. - Fase I</t>
  </si>
  <si>
    <t>Nava</t>
  </si>
  <si>
    <t>339 MW + 30.00% BESS</t>
  </si>
  <si>
    <t>Concepción Mendizábal M. - Fase II</t>
  </si>
  <si>
    <t>180 MW + 30.00% BESS</t>
  </si>
  <si>
    <t>Don Humberto</t>
  </si>
  <si>
    <t>Culiacán</t>
  </si>
  <si>
    <t>19.2 MW + 30% BESS</t>
  </si>
  <si>
    <t>Concepción Mendizábal M. - Fase III</t>
  </si>
  <si>
    <t>Global Solar 3 Campeche</t>
  </si>
  <si>
    <t>El Carmen</t>
  </si>
  <si>
    <t>125 MW + 30.00% BESS</t>
  </si>
  <si>
    <t>Sol de Sonora 70</t>
  </si>
  <si>
    <t>Hermosillo</t>
  </si>
  <si>
    <t>70 MW + 31.43% BESS</t>
  </si>
  <si>
    <t>Delaro (*)</t>
  </si>
  <si>
    <t>Reynosa</t>
  </si>
  <si>
    <t>Los Molinos</t>
  </si>
  <si>
    <t>Matamoros</t>
  </si>
  <si>
    <t>171 MW + 30% BESS</t>
  </si>
  <si>
    <t xml:space="preserve">Energías Renovables De México Tres (Hecelchakan) </t>
  </si>
  <si>
    <t>Hecelchakán</t>
  </si>
  <si>
    <t>72 MW + 30% BESS</t>
  </si>
  <si>
    <t>Planta Solar Cerro Colorado</t>
  </si>
  <si>
    <t>Sayula de Alemán</t>
  </si>
  <si>
    <t>PV Moquel Solar</t>
  </si>
  <si>
    <t>Champotón</t>
  </si>
  <si>
    <t>75 MW + 34.08% BESS</t>
  </si>
  <si>
    <t>PV Sandom Solar</t>
  </si>
  <si>
    <t>54 MW + 34.08% BESS</t>
  </si>
  <si>
    <t>Ubicación</t>
  </si>
  <si>
    <t>Tecnología</t>
  </si>
  <si>
    <t>Viento de Bella Unión</t>
  </si>
  <si>
    <t>Arteaga</t>
  </si>
  <si>
    <t>120 MW + 34.08% BESS</t>
  </si>
  <si>
    <t>Dalia 3 (Castamay)</t>
  </si>
  <si>
    <t>100 MW + 30% BESS</t>
  </si>
  <si>
    <t>Fresnillo (PV Atocha)</t>
  </si>
  <si>
    <t>Fresnillo</t>
  </si>
  <si>
    <t>Cimarrón Solar (**)</t>
  </si>
  <si>
    <t>300 MW + 30% BESS</t>
  </si>
  <si>
    <t>La Poza Solar (**)</t>
  </si>
  <si>
    <t>Sunora (**)</t>
  </si>
  <si>
    <t>Energía Limpia el Mezquite</t>
  </si>
  <si>
    <t>Mina</t>
  </si>
  <si>
    <t>Energías Renovables Saas (Peto)</t>
  </si>
  <si>
    <t>Peto</t>
  </si>
  <si>
    <t xml:space="preserve">Energías Renovables Kiin (Tekax) </t>
  </si>
  <si>
    <t>Tekax</t>
  </si>
  <si>
    <t>56 MW + 30% BESS</t>
  </si>
  <si>
    <t>El Palmar</t>
  </si>
  <si>
    <t>Los Cabos</t>
  </si>
  <si>
    <t>120 MW + 30% BESS</t>
  </si>
  <si>
    <t>La Pasión</t>
  </si>
  <si>
    <t>66 MW + 30% BESS</t>
  </si>
  <si>
    <t>Tikinmul</t>
  </si>
  <si>
    <t>170 MW + 30% BESS</t>
  </si>
  <si>
    <t>Haab Kiin</t>
  </si>
  <si>
    <t>123.2 MW + 30% BESS</t>
  </si>
  <si>
    <t>La Noria</t>
  </si>
  <si>
    <t>Villa Unión</t>
  </si>
  <si>
    <t>301.5 MW + 30% BESS</t>
  </si>
  <si>
    <t>Solitario</t>
  </si>
  <si>
    <t>San Luis Río Colorado</t>
  </si>
  <si>
    <t>200 MW + 32.5% BESS</t>
  </si>
  <si>
    <t>CFV Las Garzas (**)</t>
  </si>
  <si>
    <t>Lerdo</t>
  </si>
  <si>
    <t>270 MW + 30% BESS</t>
  </si>
  <si>
    <t>Los Girasoles</t>
  </si>
  <si>
    <t>José María Morelos</t>
  </si>
  <si>
    <t>110 MW + 30% BESS</t>
  </si>
  <si>
    <t>Tres Hermanos</t>
  </si>
  <si>
    <t>75 MW + 30% BESS</t>
  </si>
  <si>
    <t>CFV Quasara</t>
  </si>
  <si>
    <t>Mexicali</t>
  </si>
  <si>
    <t>150 MW + 30% BESS</t>
  </si>
  <si>
    <t>Sierra Madre (El Chorro) (*)</t>
  </si>
  <si>
    <t>580 MW + 30% BESS</t>
  </si>
  <si>
    <t>El Guajillo</t>
  </si>
  <si>
    <t>Montecristo</t>
  </si>
  <si>
    <t>Méndez</t>
  </si>
  <si>
    <t>510 MW + 30% BESS</t>
  </si>
  <si>
    <t>Santa Gertrudis</t>
  </si>
  <si>
    <t>503 MW + 30% BESS</t>
  </si>
  <si>
    <t>NO.</t>
  </si>
  <si>
    <t>TÍTULO 2</t>
  </si>
  <si>
    <t>Almacenamiento (BESS)</t>
  </si>
  <si>
    <t>Horas de Almacenamiento</t>
  </si>
  <si>
    <t>Fin de Construcción</t>
  </si>
  <si>
    <t>Fecha firma de contrato</t>
  </si>
  <si>
    <t>CAPEX</t>
  </si>
  <si>
    <t>INVERSIONISTA</t>
  </si>
  <si>
    <t>MWh (3 HRS)</t>
  </si>
  <si>
    <t>CAPEX /
MW</t>
  </si>
  <si>
    <t>CAPEX /
MWh (BESS)</t>
  </si>
  <si>
    <t>Capacidad (MW)</t>
  </si>
  <si>
    <t>Almacenamiento(BESS)</t>
  </si>
  <si>
    <t>ESTADO</t>
  </si>
  <si>
    <t>MUNICIPIO</t>
  </si>
  <si>
    <t>SAN SIMÓN SOLAR</t>
  </si>
  <si>
    <t>Fisterra</t>
  </si>
  <si>
    <t>San Quintín, Baja California</t>
  </si>
  <si>
    <t>80 MW</t>
  </si>
  <si>
    <t>24 MW / 85.255 MWh</t>
  </si>
  <si>
    <t>FEM ENERGY XIV, S. DE R.L. DE C.V.</t>
  </si>
  <si>
    <t xml:space="preserve"> Baja California</t>
  </si>
  <si>
    <t>San Quintín</t>
  </si>
  <si>
    <t>PROYECTO EÓLICO REGIÓN NORESTE (LA NORIA)</t>
  </si>
  <si>
    <t>Grupo Pantera</t>
  </si>
  <si>
    <t>Villa Unión, Coahuila</t>
  </si>
  <si>
    <t>301.5 MW</t>
  </si>
  <si>
    <t>90.5 MW / 271.4 MWh</t>
  </si>
  <si>
    <t>PANT3RA INFRAESTRUCTURA I, S.A. DE C.V.</t>
  </si>
  <si>
    <t xml:space="preserve"> Coahuila</t>
  </si>
  <si>
    <t>SOLITARIO</t>
  </si>
  <si>
    <t>San Luis Río Colorado, Sonora</t>
  </si>
  <si>
    <t>200 MW</t>
  </si>
  <si>
    <t>65 MW / 217 MWh</t>
  </si>
  <si>
    <t xml:space="preserve"> Sonora</t>
  </si>
  <si>
    <t>ÁLVARO OBREGÓN</t>
  </si>
  <si>
    <t>Grupo ZML</t>
  </si>
  <si>
    <t>La Paz, Baja California Sur</t>
  </si>
  <si>
    <t>90 MW</t>
  </si>
  <si>
    <t>90 MW / 360 MWh</t>
  </si>
  <si>
    <t>ZML PROMOTORES ENERGÉTICOS MX, S.A.P.I. DE C.V.</t>
  </si>
  <si>
    <t xml:space="preserve"> Baja California Sur</t>
  </si>
  <si>
    <t>PV SANDOM SOLAR</t>
  </si>
  <si>
    <t>Actis</t>
  </si>
  <si>
    <t>Hopelchén, Campeche</t>
  </si>
  <si>
    <t>54 MW</t>
  </si>
  <si>
    <t>18.4 MW / 55.2 MWh</t>
  </si>
  <si>
    <t>TRANSACTION SPEED SPV, S.A. DE C.V.</t>
  </si>
  <si>
    <t xml:space="preserve"> Campeche</t>
  </si>
  <si>
    <t>Hopelchén</t>
  </si>
  <si>
    <t>SANTA GERTRUDIS</t>
  </si>
  <si>
    <t>Thermion</t>
  </si>
  <si>
    <t>Méndez, Tamaulipas</t>
  </si>
  <si>
    <t>503 MW</t>
  </si>
  <si>
    <t>151 MW / 453 MWh</t>
  </si>
  <si>
    <t>THERMION ENERGY, S.A. DE C.V.</t>
  </si>
  <si>
    <t xml:space="preserve"> Tamaulipas</t>
  </si>
  <si>
    <t>EL GUAJILLO</t>
  </si>
  <si>
    <t>Reynosa, Tamaulipas</t>
  </si>
  <si>
    <t>468 MW</t>
  </si>
  <si>
    <t>140.4 MW / 421.2 MWh</t>
  </si>
  <si>
    <t>SOLAR ENERGÍA TRES HERMANOS</t>
  </si>
  <si>
    <t>Polaris</t>
  </si>
  <si>
    <t xml:space="preserve">Huamantla / Xaloztoc, Tlaxcala </t>
  </si>
  <si>
    <t>75 MW</t>
  </si>
  <si>
    <t>22.5 MW / 71.6 MWh</t>
  </si>
  <si>
    <t>NEBULA INNOVATIONS 1939, S. DE R.L. DE C.V.</t>
  </si>
  <si>
    <t xml:space="preserve"> Tlaxcala </t>
  </si>
  <si>
    <t>Huamantla / Xaloztoc</t>
  </si>
  <si>
    <t>LOS GIRASOLES</t>
  </si>
  <si>
    <t>José María Morelos, Quintana Roo</t>
  </si>
  <si>
    <t>110 MW</t>
  </si>
  <si>
    <t>33 MW / 101.5 MWh</t>
  </si>
  <si>
    <t xml:space="preserve"> Quintana Roo</t>
  </si>
  <si>
    <t>DON HUMBERTO</t>
  </si>
  <si>
    <t>Culiacán, Sinaloa</t>
  </si>
  <si>
    <t>19.2 MW</t>
  </si>
  <si>
    <t>6.1 MW / 18.9 MWh</t>
  </si>
  <si>
    <t xml:space="preserve"> Sinaloa</t>
  </si>
  <si>
    <t>PLANTA SOLAR HAAB KIIN</t>
  </si>
  <si>
    <t>Umán, Yucatán</t>
  </si>
  <si>
    <t>123.2 MW</t>
  </si>
  <si>
    <t>36.96 MW / 135.41 MWh</t>
  </si>
  <si>
    <t>FEM ENERGY X, S. DE R.L. DE C.V.</t>
  </si>
  <si>
    <t xml:space="preserve"> Yucatán</t>
  </si>
  <si>
    <t>Umán</t>
  </si>
  <si>
    <t>PLANTA SOLAR CERRO COLORADO</t>
  </si>
  <si>
    <t>Sayula de Alemán, Veracruz</t>
  </si>
  <si>
    <t>455.68 MW</t>
  </si>
  <si>
    <t>136.7 MW / 496.5 MWh</t>
  </si>
  <si>
    <t>FEM ENERGY XII, S. DE R.L. DE C.V.</t>
  </si>
  <si>
    <t xml:space="preserve"> Veracruz</t>
  </si>
  <si>
    <t>CENTRAL FOTOVOLTAICA QUASARA</t>
  </si>
  <si>
    <t>SuKarne</t>
  </si>
  <si>
    <t>Mexicali, Baja California</t>
  </si>
  <si>
    <t>150 MW</t>
  </si>
  <si>
    <t>45 MW / 135 MWh</t>
  </si>
  <si>
    <t>ENERGÍA FAMILIAR S.A. DE C.V.</t>
  </si>
  <si>
    <t>TIKINMUL</t>
  </si>
  <si>
    <t>Eléctrica Aselco</t>
  </si>
  <si>
    <t>Tikinmul, Campeche</t>
  </si>
  <si>
    <t>170 MW</t>
  </si>
  <si>
    <t>51 MW / 153 MWh</t>
  </si>
  <si>
    <t>ELÉCTRICA ASELCO, S.A. DE C.V.</t>
  </si>
  <si>
    <t>EL PALMAR</t>
  </si>
  <si>
    <t>Los Cabos, Baja California Sur</t>
  </si>
  <si>
    <t>120 MW</t>
  </si>
  <si>
    <t>36 MW / 108 MWh</t>
  </si>
  <si>
    <t>LA PASIÓN</t>
  </si>
  <si>
    <t>66 MW</t>
  </si>
  <si>
    <t>19.8 MW / 59.4 MWh</t>
  </si>
  <si>
    <t>SAN PEDRO SOLAR</t>
  </si>
  <si>
    <t>Elawan Wind Mexico III</t>
  </si>
  <si>
    <t>Huimalpan, Querétaro</t>
  </si>
  <si>
    <t>98.2 MW</t>
  </si>
  <si>
    <t>29.46 MW / 88.38 MWh</t>
  </si>
  <si>
    <t>ELAWAN ENERGY MÉXICO, S.A. DE C.V.</t>
  </si>
  <si>
    <t xml:space="preserve"> Querétaro</t>
  </si>
  <si>
    <t>Huimalpan</t>
  </si>
  <si>
    <t>ENERGÍA LIMPIA EL MEZQUITE</t>
  </si>
  <si>
    <t>Cúbico</t>
  </si>
  <si>
    <t>Mina, Nuevo León</t>
  </si>
  <si>
    <t>300 MW</t>
  </si>
  <si>
    <t>90 MW / 270 MWh</t>
  </si>
  <si>
    <t>CUBICO MÉXICO, S. DE R.L. DE C.V.</t>
  </si>
  <si>
    <t xml:space="preserve"> Nuevo León</t>
  </si>
  <si>
    <t>PARQUE FV ENERGÍAS RENOVABLES DE MÉXICO TRES</t>
  </si>
  <si>
    <t>Hecelchakán, Campeche</t>
  </si>
  <si>
    <t>72 MW</t>
  </si>
  <si>
    <t>21.6 MW / 64.8 MWh</t>
  </si>
  <si>
    <t>PARQUE FV ENERGÍAS RENOVABLES SAAS (PETO)</t>
  </si>
  <si>
    <t>Peto, Yucatán</t>
  </si>
  <si>
    <t>PARQUE FV ENERGÍAS RENOVABLES KIIN (TEKAX)</t>
  </si>
  <si>
    <t>Tekax, Yucatán</t>
  </si>
  <si>
    <t>56 MW</t>
  </si>
  <si>
    <t>16.8 MW / 50.4 MWh</t>
  </si>
  <si>
    <t>PARQUE FV ENERGÍAS RENOVABLES DE TAMAULIPAS</t>
  </si>
  <si>
    <t>Altamira, Tamaulipas</t>
  </si>
  <si>
    <t>78 MW</t>
  </si>
  <si>
    <t>25.69 MW / 82.22 MWh</t>
  </si>
  <si>
    <t>VIENTO DE BELLA UNIÓN</t>
  </si>
  <si>
    <t>Arteaga, Coahuila</t>
  </si>
  <si>
    <t>40.9 MW / 122.7 MWh</t>
  </si>
  <si>
    <t xml:space="preserve">CONTROLADORA MÉXICO LAGUNA, S.A. DE C.V. </t>
  </si>
  <si>
    <t>DALIA 3 PV (CASTAMAY)</t>
  </si>
  <si>
    <t>Atlántica</t>
  </si>
  <si>
    <t>Castamay, Campeche</t>
  </si>
  <si>
    <t>100 MW</t>
  </si>
  <si>
    <t>30 MW / 90 MWh</t>
  </si>
  <si>
    <t>ATLANTICA RENEWABLE POWER MÉXICO, S. DE R.L. DE C.V.</t>
  </si>
  <si>
    <t>Castamay</t>
  </si>
  <si>
    <t>FRESNILLO (PV ATOCHA)</t>
  </si>
  <si>
    <t>Fresnillo, Zacatecas</t>
  </si>
  <si>
    <t xml:space="preserve"> Zacatecas</t>
  </si>
  <si>
    <t>ENERGEO LOS MOLINOS</t>
  </si>
  <si>
    <t>Matamoros, Tamaulipas</t>
  </si>
  <si>
    <t>171 MW</t>
  </si>
  <si>
    <t>51.3 MW / 153.9 MWh</t>
  </si>
  <si>
    <t>ADMINISTRADORA THERMION, S.A. DE C.V.</t>
  </si>
  <si>
    <t>MONTECRISTO</t>
  </si>
  <si>
    <t>510 MW</t>
  </si>
  <si>
    <t>153 MW / 459 MWh</t>
  </si>
  <si>
    <t>SOL DE SONORA - 70</t>
  </si>
  <si>
    <t>Hermosillo, Sonora</t>
  </si>
  <si>
    <t>70 MW</t>
  </si>
  <si>
    <t>22 MW / 66 MWh</t>
  </si>
  <si>
    <t>PV MOQUEL SOLAR</t>
  </si>
  <si>
    <t>Champotón, Campeche</t>
  </si>
  <si>
    <t>25.6 MW / 76.7 MWh</t>
  </si>
  <si>
    <t>IDEAL EXECUTION SPV, S.A. DE C.V.</t>
  </si>
  <si>
    <t>SELKA POWER PLANT I</t>
  </si>
  <si>
    <t>Selka Power</t>
  </si>
  <si>
    <t>Romita, Guanajuato</t>
  </si>
  <si>
    <t>141.4 MW</t>
  </si>
  <si>
    <t>42.42 MW / 127.26 MWh</t>
  </si>
  <si>
    <t>SELKA KAPITAL, S.A.P.I. DE C.V. &amp; ENERCLIMA, S. DE R.L. DE C.V.</t>
  </si>
  <si>
    <t xml:space="preserve"> Guanajuato</t>
  </si>
  <si>
    <t>CONCEPCIÓN MENDIZÁBAL MENDOZA FASE I</t>
  </si>
  <si>
    <t>Atlas Renewable Energy</t>
  </si>
  <si>
    <t>Nava, Coahuila</t>
  </si>
  <si>
    <t>339 MW</t>
  </si>
  <si>
    <t>101.7 MW / 305.1 MWh</t>
  </si>
  <si>
    <t>SIN DATO</t>
  </si>
  <si>
    <t>CONCEPCIÓN MENDIZÁBAL MENDOZA FASE II</t>
  </si>
  <si>
    <t>180 MW</t>
  </si>
  <si>
    <t>54 MW / 162 MWh</t>
  </si>
  <si>
    <t>CONCEPCIÓN MENDIZÁBAL MENDOZA FASE III</t>
  </si>
  <si>
    <t>GLOBAL SOLAR 3 CAMPECHE</t>
  </si>
  <si>
    <t>Alten</t>
  </si>
  <si>
    <t>El Carmen, Campeche</t>
  </si>
  <si>
    <t>125 MW</t>
  </si>
  <si>
    <t>37.5 MW / 112.5 MWh</t>
  </si>
  <si>
    <t>CFV LAS GARZAS</t>
  </si>
  <si>
    <t>MIP Freeman Energy</t>
  </si>
  <si>
    <t>Lerdo, Durango</t>
  </si>
  <si>
    <t>270 MW</t>
  </si>
  <si>
    <t>81 MW / 243 MWh (POR CONFIRMAR</t>
  </si>
  <si>
    <t>3.00 (POR CONFIRMAR)</t>
  </si>
  <si>
    <t xml:space="preserve"> Durango</t>
  </si>
  <si>
    <t>CIMARRÓN SOLAR</t>
  </si>
  <si>
    <t>CSQB Energy</t>
  </si>
  <si>
    <t>90 MW / 270 MWh (POR CONFIRMAR)</t>
  </si>
  <si>
    <t>SUNORA</t>
  </si>
  <si>
    <t>LA POZA SOLAR</t>
  </si>
  <si>
    <t>SIERRA MADRE [EL CHORRO] (2DA RONDA)</t>
  </si>
  <si>
    <t>Villa de Casas y Güemes, Tamaulipas</t>
  </si>
  <si>
    <t>580 MW (POR CONFIRMAR)</t>
  </si>
  <si>
    <t>174 MW / 522 MWh (POR CONFIRMAR)</t>
  </si>
  <si>
    <t>Villa de Casas y Güemes</t>
  </si>
  <si>
    <t>DELARO (2DA RONDA)</t>
  </si>
  <si>
    <t>117 MW (POR CONFIRMAR)</t>
  </si>
  <si>
    <t>TOTAL GLOBAL</t>
  </si>
  <si>
    <t>TOTAL (FV)</t>
  </si>
  <si>
    <t>TOTAL (EO)</t>
  </si>
  <si>
    <t>6 PROYECTOS</t>
  </si>
  <si>
    <t>PROMEDIO TOTAL</t>
  </si>
  <si>
    <t>PROMEDIO (FV)</t>
  </si>
  <si>
    <t>PROMEDIO(EO)</t>
  </si>
  <si>
    <t>PROMEDIO TOTAL (CAPEX/MW)</t>
  </si>
  <si>
    <t>PROMEDIO (FV)  (CAPEX/MW)</t>
  </si>
  <si>
    <t>PROMEDIO(EO)  (CAPEX/MW)</t>
  </si>
  <si>
    <t>35.1 MW / 105.3 MWh (POR CONFIRMAR)</t>
  </si>
  <si>
    <t>Inicio de Inversión</t>
  </si>
  <si>
    <t>Enhol &amp; GEMEX [Terralia]</t>
  </si>
  <si>
    <t>CAZADERO SOLAR, S. DE R.L. DE C.V.</t>
  </si>
  <si>
    <t>ABE1 EPC MÉXICO, S.A. DE C.V.</t>
  </si>
  <si>
    <t>26 PROYECTOS</t>
  </si>
  <si>
    <t>32 PROYECTOS</t>
  </si>
  <si>
    <t>En elaboración</t>
  </si>
  <si>
    <t>En actualización</t>
  </si>
  <si>
    <t>En evaluación</t>
  </si>
  <si>
    <t>117 MW + 30% BESS</t>
  </si>
  <si>
    <t>468 MW + 30% BESS</t>
  </si>
  <si>
    <t>TÍTULO 1</t>
  </si>
  <si>
    <t>PRIORI</t>
  </si>
  <si>
    <t>name_BD</t>
  </si>
  <si>
    <t>DI_P</t>
  </si>
  <si>
    <t>DI_LT</t>
  </si>
  <si>
    <t>ES_INT</t>
  </si>
  <si>
    <t>A_MIA_P</t>
  </si>
  <si>
    <t>A_MIA_LT</t>
  </si>
  <si>
    <t>A_ETJ_P</t>
  </si>
  <si>
    <t>A_ETJ_LT</t>
  </si>
  <si>
    <t>S_MISSE_C</t>
  </si>
  <si>
    <t>S_MISSE_LT</t>
  </si>
  <si>
    <t>S_CONS</t>
  </si>
  <si>
    <t>INAH_C</t>
  </si>
  <si>
    <t>INAH_LT</t>
  </si>
  <si>
    <t>PEMEX_C</t>
  </si>
  <si>
    <t>PEMEX_LT</t>
  </si>
  <si>
    <t>CONA_C</t>
  </si>
  <si>
    <t>CONA_LT</t>
  </si>
  <si>
    <t>AFAC_C</t>
  </si>
  <si>
    <t>AFAC_LT</t>
  </si>
  <si>
    <t>P</t>
  </si>
  <si>
    <t>NoP</t>
  </si>
  <si>
    <t>VER FASE II</t>
  </si>
  <si>
    <t>BESS TEÓRICO (%)</t>
  </si>
  <si>
    <t>BESS TEÓRICO (MW)</t>
  </si>
  <si>
    <t>BESS REAL (%)</t>
  </si>
  <si>
    <t>BESS REAL (MW)</t>
  </si>
  <si>
    <t>NO._HA</t>
  </si>
  <si>
    <t>455.68 MW + 30% BESS</t>
  </si>
  <si>
    <t>Iniciada</t>
  </si>
  <si>
    <t>Fotovoltaica</t>
  </si>
  <si>
    <t>Eólica</t>
  </si>
  <si>
    <t>Capacidad Total Contrato (MW + %BESS)</t>
  </si>
  <si>
    <t>DI_P_ESTATUS</t>
  </si>
  <si>
    <t>DI_LT_ESTATUS</t>
  </si>
  <si>
    <t>ES_INT_ESTATUS</t>
  </si>
  <si>
    <t>A_MIA_P_ESTATUS</t>
  </si>
  <si>
    <t>A_MIA_LT_ESTATUS</t>
  </si>
  <si>
    <t>A_ETJ_P_ESTATUS</t>
  </si>
  <si>
    <t>A_ETJ_LT_ESTATUS</t>
  </si>
  <si>
    <t>S_MISSE_C_ESTATUS</t>
  </si>
  <si>
    <t>S_MISSE_LT_ESTATUS</t>
  </si>
  <si>
    <t>S_CONS_ESTATUS</t>
  </si>
  <si>
    <t>INAH_C_ESTATUS</t>
  </si>
  <si>
    <t>INAH_LT_ESTATUS</t>
  </si>
  <si>
    <t>PEMEX_C_ESTATUS</t>
  </si>
  <si>
    <t>PEMEX_LT_ESTATUS</t>
  </si>
  <si>
    <t>CONA_C_ESTATUS</t>
  </si>
  <si>
    <t>CONA_LT_ESTATUS</t>
  </si>
  <si>
    <t>AFAC_C_ESTATUS</t>
  </si>
  <si>
    <t>AFAC_LT_ESTATUS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</si>
</sst>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d&quot; de &quot;mmmm&quot; de &quot;yyyy;@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11" fillId="0" borderId="0" xfId="2"/>
    <xf numFmtId="0" fontId="11" fillId="0" borderId="2" xfId="2" applyBorder="1" applyAlignment="1">
      <alignment horizontal="center" vertical="center"/>
    </xf>
    <xf numFmtId="2" fontId="11" fillId="0" borderId="2" xfId="2" applyNumberFormat="1" applyBorder="1" applyAlignment="1">
      <alignment horizontal="center" vertical="center"/>
    </xf>
    <xf numFmtId="44" fontId="0" fillId="0" borderId="2" xfId="3" applyFont="1" applyFill="1" applyBorder="1" applyAlignment="1">
      <alignment horizontal="center" vertical="center"/>
    </xf>
    <xf numFmtId="10" fontId="11" fillId="0" borderId="2" xfId="2" applyNumberFormat="1" applyBorder="1" applyAlignment="1">
      <alignment horizontal="center" vertical="center"/>
    </xf>
    <xf numFmtId="10" fontId="0" fillId="0" borderId="2" xfId="4" applyNumberFormat="1" applyFont="1" applyBorder="1" applyAlignment="1">
      <alignment horizontal="center" vertical="center"/>
    </xf>
    <xf numFmtId="165" fontId="11" fillId="0" borderId="2" xfId="2" applyNumberFormat="1" applyBorder="1" applyAlignment="1">
      <alignment horizontal="center" vertical="center"/>
    </xf>
    <xf numFmtId="0" fontId="11" fillId="4" borderId="2" xfId="2" applyFill="1" applyBorder="1" applyAlignment="1">
      <alignment horizontal="center" vertical="center"/>
    </xf>
    <xf numFmtId="2" fontId="11" fillId="4" borderId="2" xfId="2" applyNumberFormat="1" applyFill="1" applyBorder="1" applyAlignment="1">
      <alignment horizontal="center" vertical="center"/>
    </xf>
    <xf numFmtId="10" fontId="11" fillId="4" borderId="2" xfId="2" applyNumberFormat="1" applyFill="1" applyBorder="1" applyAlignment="1">
      <alignment horizontal="center" vertical="center"/>
    </xf>
    <xf numFmtId="44" fontId="0" fillId="4" borderId="2" xfId="3" applyFont="1" applyFill="1" applyBorder="1" applyAlignment="1">
      <alignment horizontal="center" vertical="center"/>
    </xf>
    <xf numFmtId="0" fontId="11" fillId="4" borderId="0" xfId="2" applyFill="1"/>
    <xf numFmtId="0" fontId="11" fillId="5" borderId="2" xfId="2" applyFill="1" applyBorder="1" applyAlignment="1">
      <alignment horizontal="center" vertical="center"/>
    </xf>
    <xf numFmtId="2" fontId="11" fillId="5" borderId="2" xfId="2" applyNumberFormat="1" applyFill="1" applyBorder="1" applyAlignment="1">
      <alignment horizontal="center" vertical="center"/>
    </xf>
    <xf numFmtId="164" fontId="11" fillId="5" borderId="2" xfId="2" applyNumberFormat="1" applyFill="1" applyBorder="1" applyAlignment="1">
      <alignment horizontal="center" vertical="center"/>
    </xf>
    <xf numFmtId="44" fontId="0" fillId="5" borderId="2" xfId="3" applyFont="1" applyFill="1" applyBorder="1" applyAlignment="1">
      <alignment horizontal="center" vertical="center"/>
    </xf>
    <xf numFmtId="0" fontId="11" fillId="0" borderId="0" xfId="2" applyAlignment="1">
      <alignment horizontal="center" vertical="center"/>
    </xf>
    <xf numFmtId="14" fontId="11" fillId="0" borderId="0" xfId="2" applyNumberFormat="1" applyAlignment="1">
      <alignment horizontal="center" vertical="center"/>
    </xf>
    <xf numFmtId="44" fontId="0" fillId="0" borderId="0" xfId="3" applyFont="1" applyAlignment="1">
      <alignment horizontal="center" vertical="center"/>
    </xf>
    <xf numFmtId="2" fontId="11" fillId="0" borderId="0" xfId="2" applyNumberFormat="1" applyAlignment="1">
      <alignment horizontal="center" vertical="center"/>
    </xf>
    <xf numFmtId="14" fontId="14" fillId="0" borderId="9" xfId="2" applyNumberFormat="1" applyFont="1" applyBorder="1" applyAlignment="1">
      <alignment horizontal="right" vertical="center"/>
    </xf>
    <xf numFmtId="44" fontId="11" fillId="0" borderId="1" xfId="2" applyNumberFormat="1" applyBorder="1"/>
    <xf numFmtId="14" fontId="14" fillId="0" borderId="4" xfId="2" applyNumberFormat="1" applyFont="1" applyBorder="1" applyAlignment="1">
      <alignment horizontal="right" vertical="center"/>
    </xf>
    <xf numFmtId="44" fontId="11" fillId="0" borderId="2" xfId="2" applyNumberFormat="1" applyBorder="1"/>
    <xf numFmtId="14" fontId="14" fillId="0" borderId="11" xfId="2" applyNumberFormat="1" applyFont="1" applyBorder="1" applyAlignment="1">
      <alignment horizontal="right" vertical="center"/>
    </xf>
    <xf numFmtId="44" fontId="11" fillId="0" borderId="3" xfId="2" applyNumberFormat="1" applyBorder="1"/>
    <xf numFmtId="0" fontId="11" fillId="0" borderId="6" xfId="2" applyBorder="1" applyAlignment="1">
      <alignment horizontal="left" vertical="center"/>
    </xf>
    <xf numFmtId="44" fontId="11" fillId="0" borderId="10" xfId="2" applyNumberFormat="1" applyBorder="1"/>
    <xf numFmtId="44" fontId="11" fillId="0" borderId="5" xfId="2" applyNumberFormat="1" applyBorder="1"/>
    <xf numFmtId="44" fontId="11" fillId="0" borderId="6" xfId="2" applyNumberFormat="1" applyBorder="1"/>
    <xf numFmtId="0" fontId="10" fillId="5" borderId="2" xfId="2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164" fontId="9" fillId="4" borderId="2" xfId="2" applyNumberFormat="1" applyFont="1" applyFill="1" applyBorder="1" applyAlignment="1">
      <alignment horizontal="center" vertical="center"/>
    </xf>
    <xf numFmtId="164" fontId="9" fillId="0" borderId="2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7" fillId="0" borderId="2" xfId="2" applyFont="1" applyBorder="1" applyAlignment="1">
      <alignment horizontal="center" vertical="center"/>
    </xf>
    <xf numFmtId="44" fontId="11" fillId="0" borderId="7" xfId="2" applyNumberFormat="1" applyBorder="1"/>
    <xf numFmtId="44" fontId="11" fillId="0" borderId="12" xfId="2" applyNumberFormat="1" applyBorder="1"/>
    <xf numFmtId="44" fontId="11" fillId="0" borderId="8" xfId="2" applyNumberFormat="1" applyBorder="1"/>
    <xf numFmtId="44" fontId="11" fillId="0" borderId="0" xfId="2" applyNumberFormat="1"/>
    <xf numFmtId="44" fontId="12" fillId="0" borderId="2" xfId="3" applyFont="1" applyFill="1" applyBorder="1" applyAlignment="1">
      <alignment horizontal="center" vertical="center"/>
    </xf>
    <xf numFmtId="2" fontId="13" fillId="3" borderId="2" xfId="2" applyNumberFormat="1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14" fontId="14" fillId="6" borderId="2" xfId="2" applyNumberFormat="1" applyFont="1" applyFill="1" applyBorder="1" applyAlignment="1">
      <alignment horizontal="center" vertical="center"/>
    </xf>
    <xf numFmtId="10" fontId="14" fillId="6" borderId="2" xfId="2" applyNumberFormat="1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vertical="center"/>
    </xf>
    <xf numFmtId="0" fontId="13" fillId="3" borderId="13" xfId="2" applyFont="1" applyFill="1" applyBorder="1" applyAlignment="1">
      <alignment vertical="center"/>
    </xf>
    <xf numFmtId="14" fontId="11" fillId="0" borderId="2" xfId="2" applyNumberFormat="1" applyBorder="1" applyAlignment="1">
      <alignment horizontal="center" vertical="center"/>
    </xf>
    <xf numFmtId="14" fontId="11" fillId="4" borderId="2" xfId="2" applyNumberFormat="1" applyFill="1" applyBorder="1" applyAlignment="1">
      <alignment horizontal="center" vertical="center"/>
    </xf>
    <xf numFmtId="14" fontId="11" fillId="5" borderId="2" xfId="2" applyNumberForma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4" fillId="0" borderId="2" xfId="2" applyFont="1" applyBorder="1"/>
    <xf numFmtId="0" fontId="11" fillId="0" borderId="2" xfId="2" applyBorder="1"/>
    <xf numFmtId="10" fontId="11" fillId="5" borderId="2" xfId="2" applyNumberFormat="1" applyFill="1" applyBorder="1" applyAlignment="1">
      <alignment horizontal="center" vertical="center"/>
    </xf>
    <xf numFmtId="10" fontId="0" fillId="5" borderId="2" xfId="4" applyNumberFormat="1" applyFont="1" applyFill="1" applyBorder="1" applyAlignment="1">
      <alignment horizontal="center" vertical="center"/>
    </xf>
    <xf numFmtId="0" fontId="4" fillId="5" borderId="2" xfId="2" applyFont="1" applyFill="1" applyBorder="1"/>
    <xf numFmtId="0" fontId="11" fillId="5" borderId="2" xfId="2" applyFill="1" applyBorder="1"/>
    <xf numFmtId="0" fontId="9" fillId="5" borderId="2" xfId="2" applyFont="1" applyFill="1" applyBorder="1" applyAlignment="1">
      <alignment horizontal="center" vertical="center"/>
    </xf>
    <xf numFmtId="14" fontId="9" fillId="5" borderId="2" xfId="2" applyNumberFormat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3" fillId="0" borderId="2" xfId="2" applyFont="1" applyBorder="1"/>
    <xf numFmtId="10" fontId="0" fillId="0" borderId="2" xfId="4" applyNumberFormat="1" applyFont="1" applyFill="1" applyBorder="1" applyAlignment="1">
      <alignment horizontal="center" vertical="center"/>
    </xf>
    <xf numFmtId="0" fontId="2" fillId="0" borderId="2" xfId="2" applyFont="1" applyBorder="1"/>
    <xf numFmtId="10" fontId="0" fillId="2" borderId="2" xfId="4" applyNumberFormat="1" applyFont="1" applyFill="1" applyBorder="1" applyAlignment="1">
      <alignment horizontal="center" vertical="center"/>
    </xf>
    <xf numFmtId="0" fontId="1" fillId="0" borderId="2" xfId="2" applyFont="1" applyBorder="1"/>
    <xf numFmtId="0" fontId="1" fillId="5" borderId="2" xfId="2" applyFont="1" applyFill="1" applyBorder="1"/>
  </cellXfs>
  <cellStyles count="7">
    <cellStyle name="Moneda 2" xfId="3" xr:uid="{D1320C96-E4D8-49ED-B372-F44070FB837E}"/>
    <cellStyle name="Normal" xfId="0" builtinId="0"/>
    <cellStyle name="Normal 2" xfId="1" xr:uid="{00000000-0005-0000-0000-000001000000}"/>
    <cellStyle name="Normal 3" xfId="2" xr:uid="{4AA80466-299D-46F8-9B31-604177BE6B3F}"/>
    <cellStyle name="Normal 4" xfId="5" xr:uid="{7361B082-8347-4F05-8CFF-EBB8F67FE73C}"/>
    <cellStyle name="Porcentaje 2" xfId="4" xr:uid="{2B5820DD-CF8D-4082-9667-51093C28BE6F}"/>
    <cellStyle name="Porcentaje 3" xfId="6" xr:uid="{29C43428-6A47-4A7D-9F9D-FE73F5394690}"/>
  </cellStyles>
  <dxfs count="8"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rgb="FFBFBFBF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FABF8F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99"/>
      <color rgb="FFFFFF5B"/>
      <color rgb="FFCCFF99"/>
      <color rgb="FFFFFFCC"/>
      <color rgb="FFE79999"/>
      <color rgb="FFFF9966"/>
      <color rgb="FFEBF1DE"/>
      <color rgb="FFFFFF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78D9-47D9-4EBC-8BEA-A91BF1F0B98F}">
  <dimension ref="A1:BQ53"/>
  <sheetViews>
    <sheetView tabSelected="1" zoomScaleNormal="100" workbookViewId="0"/>
  </sheetViews>
  <sheetFormatPr baseColWidth="10" defaultColWidth="11.42578125" defaultRowHeight="15" x14ac:dyDescent="0.25"/>
  <cols>
    <col min="1" max="1" width="9" style="17" bestFit="1" customWidth="1"/>
    <col min="2" max="2" width="12.5703125" style="17" bestFit="1" customWidth="1"/>
    <col min="3" max="4" width="47.85546875" style="17" bestFit="1" customWidth="1"/>
    <col min="5" max="5" width="47.28515625" style="17" bestFit="1" customWidth="1"/>
    <col min="6" max="6" width="23.28515625" style="17" bestFit="1" customWidth="1"/>
    <col min="7" max="7" width="15.140625" style="17" bestFit="1" customWidth="1"/>
    <col min="8" max="8" width="33.7109375" style="17" bestFit="1" customWidth="1"/>
    <col min="9" max="9" width="25.140625" style="17" bestFit="1" customWidth="1"/>
    <col min="10" max="10" width="37.5703125" style="17" bestFit="1" customWidth="1"/>
    <col min="11" max="11" width="41.5703125" style="17" bestFit="1" customWidth="1"/>
    <col min="12" max="12" width="29.140625" style="17" bestFit="1" customWidth="1"/>
    <col min="13" max="13" width="22" style="18" bestFit="1" customWidth="1"/>
    <col min="14" max="14" width="23" style="18" bestFit="1" customWidth="1"/>
    <col min="15" max="15" width="29.5703125" style="18" bestFit="1" customWidth="1"/>
    <col min="16" max="16" width="17.85546875" style="1" customWidth="1"/>
    <col min="17" max="17" width="11.5703125" style="1" bestFit="1" customWidth="1"/>
    <col min="18" max="18" width="57.28515625" style="17" bestFit="1" customWidth="1"/>
    <col min="19" max="19" width="19.140625" style="17" bestFit="1" customWidth="1"/>
    <col min="20" max="20" width="21.42578125" style="20" bestFit="1" customWidth="1"/>
    <col min="21" max="21" width="17.28515625" style="20" customWidth="1"/>
    <col min="22" max="22" width="15.5703125" style="17" bestFit="1" customWidth="1"/>
    <col min="23" max="23" width="17.85546875" style="17" bestFit="1" customWidth="1"/>
    <col min="24" max="24" width="17.28515625" style="1" customWidth="1"/>
    <col min="25" max="25" width="17.5703125" style="1" bestFit="1" customWidth="1"/>
    <col min="26" max="26" width="24.85546875" style="1" bestFit="1" customWidth="1"/>
    <col min="27" max="27" width="20.28515625" style="17" customWidth="1"/>
    <col min="28" max="28" width="26.5703125" style="17" bestFit="1" customWidth="1"/>
    <col min="29" max="29" width="17.5703125" style="1" bestFit="1" customWidth="1"/>
    <col min="30" max="30" width="22.42578125" style="17" bestFit="1" customWidth="1"/>
    <col min="31" max="31" width="11.85546875" style="1" bestFit="1" customWidth="1"/>
    <col min="32" max="32" width="7.42578125" style="1" bestFit="1" customWidth="1"/>
    <col min="33" max="33" width="11.42578125" style="1" bestFit="1" customWidth="1"/>
    <col min="34" max="34" width="9.5703125" style="1" bestFit="1" customWidth="1"/>
    <col min="35" max="35" width="10.28515625" style="1" bestFit="1" customWidth="1"/>
    <col min="36" max="36" width="11.5703125" style="1" bestFit="1" customWidth="1"/>
    <col min="37" max="37" width="13.7109375" style="1" bestFit="1" customWidth="1"/>
    <col min="38" max="38" width="14.42578125" style="1" bestFit="1" customWidth="1"/>
    <col min="39" max="39" width="12.7109375" style="1" bestFit="1" customWidth="1"/>
    <col min="40" max="40" width="13.42578125" style="1" bestFit="1" customWidth="1"/>
    <col min="41" max="41" width="15.140625" style="1" bestFit="1" customWidth="1"/>
    <col min="42" max="42" width="15.85546875" style="1" bestFit="1" customWidth="1"/>
    <col min="43" max="43" width="12.5703125" style="1" bestFit="1" customWidth="1"/>
    <col min="44" max="44" width="12.28515625" style="1" bestFit="1" customWidth="1"/>
    <col min="45" max="45" width="13" style="1" bestFit="1" customWidth="1"/>
    <col min="46" max="46" width="13.85546875" style="1" bestFit="1" customWidth="1"/>
    <col min="47" max="47" width="14.5703125" style="1" bestFit="1" customWidth="1"/>
    <col min="48" max="48" width="13" style="1" bestFit="1" customWidth="1"/>
    <col min="49" max="49" width="13.7109375" style="1" bestFit="1" customWidth="1"/>
    <col min="50" max="50" width="12.42578125" style="1" bestFit="1" customWidth="1"/>
    <col min="51" max="51" width="13.140625" style="1" bestFit="1" customWidth="1"/>
    <col min="52" max="52" width="18.28515625" style="1" bestFit="1" customWidth="1"/>
    <col min="53" max="53" width="19" style="1" bestFit="1" customWidth="1"/>
    <col min="54" max="54" width="20.28515625" style="1" bestFit="1" customWidth="1"/>
    <col min="55" max="55" width="22.5703125" style="1" bestFit="1" customWidth="1"/>
    <col min="56" max="56" width="23.28515625" style="1" bestFit="1" customWidth="1"/>
    <col min="57" max="57" width="21.5703125" style="1" bestFit="1" customWidth="1"/>
    <col min="58" max="58" width="22.28515625" style="1" bestFit="1" customWidth="1"/>
    <col min="59" max="59" width="24" style="1" bestFit="1" customWidth="1"/>
    <col min="60" max="60" width="24.7109375" style="1" bestFit="1" customWidth="1"/>
    <col min="61" max="61" width="21.42578125" style="1" bestFit="1" customWidth="1"/>
    <col min="62" max="62" width="21.140625" style="1" bestFit="1" customWidth="1"/>
    <col min="63" max="63" width="21.85546875" style="1" bestFit="1" customWidth="1"/>
    <col min="64" max="64" width="22.7109375" style="1" bestFit="1" customWidth="1"/>
    <col min="65" max="65" width="23.42578125" style="1" bestFit="1" customWidth="1"/>
    <col min="66" max="66" width="21.85546875" style="1" bestFit="1" customWidth="1"/>
    <col min="67" max="67" width="22.5703125" style="1" bestFit="1" customWidth="1"/>
    <col min="68" max="68" width="21.28515625" style="1" bestFit="1" customWidth="1"/>
    <col min="69" max="69" width="22" style="1" bestFit="1" customWidth="1"/>
    <col min="70" max="16384" width="11.42578125" style="1"/>
  </cols>
  <sheetData>
    <row r="1" spans="1:69" x14ac:dyDescent="0.25">
      <c r="A1" s="45" t="s">
        <v>104</v>
      </c>
      <c r="B1" s="45" t="s">
        <v>365</v>
      </c>
      <c r="C1" s="45" t="s">
        <v>337</v>
      </c>
      <c r="D1" s="45" t="s">
        <v>105</v>
      </c>
      <c r="E1" s="45" t="s">
        <v>339</v>
      </c>
      <c r="F1" s="45" t="s">
        <v>0</v>
      </c>
      <c r="G1" s="45" t="s">
        <v>51</v>
      </c>
      <c r="H1" s="45" t="s">
        <v>50</v>
      </c>
      <c r="I1" s="45" t="s">
        <v>1</v>
      </c>
      <c r="J1" s="45" t="s">
        <v>106</v>
      </c>
      <c r="K1" s="45" t="s">
        <v>370</v>
      </c>
      <c r="L1" s="45" t="s">
        <v>107</v>
      </c>
      <c r="M1" s="46" t="s">
        <v>326</v>
      </c>
      <c r="N1" s="46" t="s">
        <v>108</v>
      </c>
      <c r="O1" s="46" t="s">
        <v>109</v>
      </c>
      <c r="P1" s="45" t="s">
        <v>110</v>
      </c>
      <c r="Q1" s="45" t="s">
        <v>338</v>
      </c>
      <c r="R1" s="44" t="s">
        <v>111</v>
      </c>
      <c r="S1" s="48" t="s">
        <v>361</v>
      </c>
      <c r="T1" s="49" t="s">
        <v>362</v>
      </c>
      <c r="U1" s="43" t="s">
        <v>112</v>
      </c>
      <c r="V1" s="48" t="s">
        <v>363</v>
      </c>
      <c r="W1" s="49" t="s">
        <v>364</v>
      </c>
      <c r="X1" s="44" t="s">
        <v>112</v>
      </c>
      <c r="Y1" s="44" t="s">
        <v>113</v>
      </c>
      <c r="Z1" s="44" t="s">
        <v>114</v>
      </c>
      <c r="AA1" s="44" t="s">
        <v>115</v>
      </c>
      <c r="AB1" s="44" t="s">
        <v>116</v>
      </c>
      <c r="AC1" s="44" t="s">
        <v>117</v>
      </c>
      <c r="AD1" s="44" t="s">
        <v>118</v>
      </c>
      <c r="AE1" s="47" t="s">
        <v>2</v>
      </c>
      <c r="AF1" s="47" t="s">
        <v>3</v>
      </c>
      <c r="AG1" s="47" t="s">
        <v>4</v>
      </c>
      <c r="AH1" s="47" t="s">
        <v>340</v>
      </c>
      <c r="AI1" s="47" t="s">
        <v>341</v>
      </c>
      <c r="AJ1" s="47" t="s">
        <v>342</v>
      </c>
      <c r="AK1" s="47" t="s">
        <v>343</v>
      </c>
      <c r="AL1" s="47" t="s">
        <v>344</v>
      </c>
      <c r="AM1" s="47" t="s">
        <v>345</v>
      </c>
      <c r="AN1" s="47" t="s">
        <v>346</v>
      </c>
      <c r="AO1" s="47" t="s">
        <v>347</v>
      </c>
      <c r="AP1" s="47" t="s">
        <v>348</v>
      </c>
      <c r="AQ1" s="47" t="s">
        <v>349</v>
      </c>
      <c r="AR1" s="47" t="s">
        <v>350</v>
      </c>
      <c r="AS1" s="47" t="s">
        <v>351</v>
      </c>
      <c r="AT1" s="47" t="s">
        <v>352</v>
      </c>
      <c r="AU1" s="47" t="s">
        <v>353</v>
      </c>
      <c r="AV1" s="47" t="s">
        <v>354</v>
      </c>
      <c r="AW1" s="47" t="s">
        <v>355</v>
      </c>
      <c r="AX1" s="47" t="s">
        <v>356</v>
      </c>
      <c r="AY1" s="47" t="s">
        <v>357</v>
      </c>
      <c r="AZ1" s="53" t="s">
        <v>371</v>
      </c>
      <c r="BA1" s="53" t="s">
        <v>372</v>
      </c>
      <c r="BB1" s="53" t="s">
        <v>373</v>
      </c>
      <c r="BC1" s="53" t="s">
        <v>374</v>
      </c>
      <c r="BD1" s="53" t="s">
        <v>375</v>
      </c>
      <c r="BE1" s="53" t="s">
        <v>376</v>
      </c>
      <c r="BF1" s="53" t="s">
        <v>377</v>
      </c>
      <c r="BG1" s="53" t="s">
        <v>378</v>
      </c>
      <c r="BH1" s="53" t="s">
        <v>379</v>
      </c>
      <c r="BI1" s="53" t="s">
        <v>380</v>
      </c>
      <c r="BJ1" s="53" t="s">
        <v>381</v>
      </c>
      <c r="BK1" s="53" t="s">
        <v>382</v>
      </c>
      <c r="BL1" s="53" t="s">
        <v>383</v>
      </c>
      <c r="BM1" s="53" t="s">
        <v>384</v>
      </c>
      <c r="BN1" s="53" t="s">
        <v>385</v>
      </c>
      <c r="BO1" s="53" t="s">
        <v>386</v>
      </c>
      <c r="BP1" s="53" t="s">
        <v>387</v>
      </c>
      <c r="BQ1" s="53" t="s">
        <v>388</v>
      </c>
    </row>
    <row r="2" spans="1:69" x14ac:dyDescent="0.25">
      <c r="A2" s="2">
        <v>29</v>
      </c>
      <c r="B2" s="2">
        <v>1</v>
      </c>
      <c r="C2" s="2" t="s">
        <v>270</v>
      </c>
      <c r="D2" s="2" t="s">
        <v>270</v>
      </c>
      <c r="E2" s="2" t="s">
        <v>45</v>
      </c>
      <c r="F2" s="2" t="s">
        <v>147</v>
      </c>
      <c r="G2" s="2" t="s">
        <v>368</v>
      </c>
      <c r="H2" s="2" t="s">
        <v>271</v>
      </c>
      <c r="I2" s="2" t="s">
        <v>168</v>
      </c>
      <c r="J2" s="2" t="s">
        <v>272</v>
      </c>
      <c r="K2" s="2" t="s">
        <v>47</v>
      </c>
      <c r="L2" s="3">
        <v>3</v>
      </c>
      <c r="M2" s="50">
        <v>46388</v>
      </c>
      <c r="N2" s="50">
        <v>46935</v>
      </c>
      <c r="O2" s="50">
        <v>46211</v>
      </c>
      <c r="P2" s="4">
        <v>86086705.700000003</v>
      </c>
      <c r="Q2" s="4" t="s">
        <v>359</v>
      </c>
      <c r="R2" s="2" t="s">
        <v>273</v>
      </c>
      <c r="S2" s="5">
        <v>0.3</v>
      </c>
      <c r="T2" s="3">
        <f t="shared" ref="T2:T41" si="0">AA2*S2</f>
        <v>22.5</v>
      </c>
      <c r="U2" s="3">
        <f t="shared" ref="U2:U41" si="1">T2*3</f>
        <v>67.5</v>
      </c>
      <c r="V2" s="5">
        <f t="shared" ref="V2:V41" si="2">AB2/AA2</f>
        <v>0.34133333333333338</v>
      </c>
      <c r="W2" s="3">
        <f t="shared" ref="W2:W41" si="3">AA2*V2</f>
        <v>25.600000000000005</v>
      </c>
      <c r="X2" s="3">
        <f t="shared" ref="X2:X41" si="4">W2*3</f>
        <v>76.800000000000011</v>
      </c>
      <c r="Y2" s="4">
        <f t="shared" ref="Y2:Y41" si="5">P2/AA2</f>
        <v>1147822.7426666666</v>
      </c>
      <c r="Z2" s="4">
        <f t="shared" ref="Z2:Z41" si="6">P2/AB2</f>
        <v>3362761.94140625</v>
      </c>
      <c r="AA2" s="3">
        <v>75</v>
      </c>
      <c r="AB2" s="3">
        <v>25.6</v>
      </c>
      <c r="AC2" s="2" t="s">
        <v>152</v>
      </c>
      <c r="AD2" s="2" t="s">
        <v>46</v>
      </c>
      <c r="AE2" s="6">
        <f t="shared" ref="AE2:AE41" si="7">(AH2*10%)+(AJ2*10%)+(AK2*20%)+(AM2*10%)+(AO2*20%)+(AQ2*10%)+(AR2*5%)+(AT2*5%)+(AV2*5%)+(AX2*5%)</f>
        <v>0.82000000000000028</v>
      </c>
      <c r="AF2" s="6">
        <f t="shared" ref="AF2:AF41" si="8">(AI2*10%)+(AJ2*10%)+(AL2*20%)+(AN2*10%)+(AP2*20%)+(AQ2*10%)+(AS2*5%)+(AU2*5%)+(AW2*5%)+(AY2*5%)</f>
        <v>0.70000000000000018</v>
      </c>
      <c r="AG2" s="6">
        <f t="shared" ref="AG2:AG41" si="9">(AE2*80%)+(AF2*20%)</f>
        <v>0.79600000000000026</v>
      </c>
      <c r="AH2" s="6">
        <v>1</v>
      </c>
      <c r="AI2" s="6">
        <v>0.5</v>
      </c>
      <c r="AJ2" s="6">
        <v>1</v>
      </c>
      <c r="AK2" s="6">
        <v>0.8</v>
      </c>
      <c r="AL2" s="6">
        <v>0.5</v>
      </c>
      <c r="AM2" s="6">
        <v>0.5</v>
      </c>
      <c r="AN2" s="6">
        <v>0.5</v>
      </c>
      <c r="AO2" s="6">
        <v>1</v>
      </c>
      <c r="AP2" s="6">
        <v>1</v>
      </c>
      <c r="AQ2" s="6">
        <v>0.3</v>
      </c>
      <c r="AR2" s="6">
        <v>0.7</v>
      </c>
      <c r="AS2" s="6">
        <v>0.5</v>
      </c>
      <c r="AT2" s="6">
        <v>1</v>
      </c>
      <c r="AU2" s="6">
        <v>1</v>
      </c>
      <c r="AV2" s="6">
        <v>1</v>
      </c>
      <c r="AW2" s="6">
        <v>1</v>
      </c>
      <c r="AX2" s="6">
        <v>0.9</v>
      </c>
      <c r="AY2" s="6">
        <v>0.9</v>
      </c>
      <c r="AZ2" s="54" t="s">
        <v>8</v>
      </c>
      <c r="BA2" s="67" t="s">
        <v>332</v>
      </c>
      <c r="BB2" s="55" t="s">
        <v>8</v>
      </c>
      <c r="BC2" s="55" t="s">
        <v>333</v>
      </c>
      <c r="BD2" s="67" t="s">
        <v>334</v>
      </c>
      <c r="BE2" s="55" t="s">
        <v>332</v>
      </c>
      <c r="BF2" s="55" t="s">
        <v>332</v>
      </c>
      <c r="BG2" s="55" t="s">
        <v>8</v>
      </c>
      <c r="BH2" s="55" t="s">
        <v>8</v>
      </c>
      <c r="BI2" s="55" t="s">
        <v>367</v>
      </c>
      <c r="BJ2" s="55" t="s">
        <v>333</v>
      </c>
      <c r="BK2" s="67" t="s">
        <v>332</v>
      </c>
      <c r="BL2" s="55" t="s">
        <v>8</v>
      </c>
      <c r="BM2" s="55" t="s">
        <v>8</v>
      </c>
      <c r="BN2" s="55" t="s">
        <v>8</v>
      </c>
      <c r="BO2" s="55" t="s">
        <v>8</v>
      </c>
      <c r="BP2" s="55" t="s">
        <v>334</v>
      </c>
      <c r="BQ2" s="55" t="s">
        <v>334</v>
      </c>
    </row>
    <row r="3" spans="1:69" x14ac:dyDescent="0.25">
      <c r="A3" s="2">
        <v>5</v>
      </c>
      <c r="B3" s="2">
        <v>2</v>
      </c>
      <c r="C3" s="2" t="s">
        <v>146</v>
      </c>
      <c r="D3" s="2" t="s">
        <v>146</v>
      </c>
      <c r="E3" s="2" t="s">
        <v>48</v>
      </c>
      <c r="F3" s="2" t="s">
        <v>147</v>
      </c>
      <c r="G3" s="2" t="s">
        <v>368</v>
      </c>
      <c r="H3" s="2" t="s">
        <v>148</v>
      </c>
      <c r="I3" s="2" t="s">
        <v>149</v>
      </c>
      <c r="J3" s="2" t="s">
        <v>150</v>
      </c>
      <c r="K3" s="2" t="s">
        <v>49</v>
      </c>
      <c r="L3" s="3">
        <v>3</v>
      </c>
      <c r="M3" s="50">
        <v>46478</v>
      </c>
      <c r="N3" s="50">
        <v>47057</v>
      </c>
      <c r="O3" s="50">
        <v>46211</v>
      </c>
      <c r="P3" s="4">
        <v>60278577.799999997</v>
      </c>
      <c r="Q3" s="4" t="s">
        <v>358</v>
      </c>
      <c r="R3" s="2" t="s">
        <v>151</v>
      </c>
      <c r="S3" s="5">
        <v>0.3</v>
      </c>
      <c r="T3" s="3">
        <f t="shared" si="0"/>
        <v>16.2</v>
      </c>
      <c r="U3" s="3">
        <f t="shared" si="1"/>
        <v>48.599999999999994</v>
      </c>
      <c r="V3" s="5">
        <f t="shared" si="2"/>
        <v>0.34074074074074073</v>
      </c>
      <c r="W3" s="3">
        <f t="shared" si="3"/>
        <v>18.399999999999999</v>
      </c>
      <c r="X3" s="3">
        <f t="shared" si="4"/>
        <v>55.199999999999996</v>
      </c>
      <c r="Y3" s="4">
        <f t="shared" si="5"/>
        <v>1116269.9592592593</v>
      </c>
      <c r="Z3" s="4">
        <f t="shared" si="6"/>
        <v>3276009.6630434785</v>
      </c>
      <c r="AA3" s="3">
        <v>54</v>
      </c>
      <c r="AB3" s="3">
        <v>18.399999999999999</v>
      </c>
      <c r="AC3" s="2" t="s">
        <v>152</v>
      </c>
      <c r="AD3" s="2" t="s">
        <v>153</v>
      </c>
      <c r="AE3" s="6">
        <f t="shared" si="7"/>
        <v>0.80000000000000027</v>
      </c>
      <c r="AF3" s="6">
        <f t="shared" si="8"/>
        <v>0.55500000000000005</v>
      </c>
      <c r="AG3" s="6">
        <f t="shared" si="9"/>
        <v>0.75100000000000022</v>
      </c>
      <c r="AH3" s="6">
        <v>1</v>
      </c>
      <c r="AI3" s="6">
        <v>0</v>
      </c>
      <c r="AJ3" s="6">
        <v>1</v>
      </c>
      <c r="AK3" s="6">
        <v>0.5</v>
      </c>
      <c r="AL3" s="6">
        <v>0.5</v>
      </c>
      <c r="AM3" s="6">
        <v>1</v>
      </c>
      <c r="AN3" s="6">
        <v>0</v>
      </c>
      <c r="AO3" s="6">
        <v>0.9</v>
      </c>
      <c r="AP3" s="6">
        <v>0.9</v>
      </c>
      <c r="AQ3" s="6">
        <v>0.3</v>
      </c>
      <c r="AR3" s="6">
        <v>0.9</v>
      </c>
      <c r="AS3" s="6">
        <v>0</v>
      </c>
      <c r="AT3" s="6">
        <v>1</v>
      </c>
      <c r="AU3" s="6">
        <v>1</v>
      </c>
      <c r="AV3" s="6">
        <v>1</v>
      </c>
      <c r="AW3" s="6">
        <v>1</v>
      </c>
      <c r="AX3" s="6">
        <v>0.9</v>
      </c>
      <c r="AY3" s="6">
        <v>0.9</v>
      </c>
      <c r="AZ3" s="54" t="s">
        <v>8</v>
      </c>
      <c r="BA3" s="65" t="s">
        <v>332</v>
      </c>
      <c r="BB3" s="55" t="s">
        <v>8</v>
      </c>
      <c r="BC3" s="65" t="s">
        <v>334</v>
      </c>
      <c r="BD3" s="65" t="s">
        <v>334</v>
      </c>
      <c r="BE3" s="55" t="s">
        <v>7</v>
      </c>
      <c r="BF3" s="65" t="s">
        <v>332</v>
      </c>
      <c r="BG3" s="55" t="s">
        <v>334</v>
      </c>
      <c r="BH3" s="55" t="s">
        <v>334</v>
      </c>
      <c r="BI3" s="55" t="s">
        <v>367</v>
      </c>
      <c r="BJ3" s="55" t="s">
        <v>333</v>
      </c>
      <c r="BK3" s="65" t="s">
        <v>332</v>
      </c>
      <c r="BL3" s="55" t="s">
        <v>8</v>
      </c>
      <c r="BM3" s="55" t="s">
        <v>8</v>
      </c>
      <c r="BN3" s="55" t="s">
        <v>8</v>
      </c>
      <c r="BO3" s="55" t="s">
        <v>8</v>
      </c>
      <c r="BP3" s="55" t="s">
        <v>334</v>
      </c>
      <c r="BQ3" s="55" t="s">
        <v>334</v>
      </c>
    </row>
    <row r="4" spans="1:69" x14ac:dyDescent="0.25">
      <c r="A4" s="2">
        <v>23</v>
      </c>
      <c r="B4" s="2">
        <v>3</v>
      </c>
      <c r="C4" s="2" t="s">
        <v>244</v>
      </c>
      <c r="D4" s="2" t="s">
        <v>244</v>
      </c>
      <c r="E4" s="2" t="s">
        <v>52</v>
      </c>
      <c r="F4" s="2" t="s">
        <v>147</v>
      </c>
      <c r="G4" s="2" t="s">
        <v>368</v>
      </c>
      <c r="H4" s="2" t="s">
        <v>245</v>
      </c>
      <c r="I4" s="2" t="s">
        <v>210</v>
      </c>
      <c r="J4" s="2" t="s">
        <v>246</v>
      </c>
      <c r="K4" s="2" t="s">
        <v>54</v>
      </c>
      <c r="L4" s="3">
        <v>3</v>
      </c>
      <c r="M4" s="50">
        <v>46507</v>
      </c>
      <c r="N4" s="50">
        <v>47057</v>
      </c>
      <c r="O4" s="50">
        <v>46206</v>
      </c>
      <c r="P4" s="4">
        <v>114611715.90000001</v>
      </c>
      <c r="Q4" s="4" t="s">
        <v>358</v>
      </c>
      <c r="R4" s="2" t="s">
        <v>247</v>
      </c>
      <c r="S4" s="5">
        <v>0.3</v>
      </c>
      <c r="T4" s="3">
        <f t="shared" si="0"/>
        <v>36</v>
      </c>
      <c r="U4" s="3">
        <f t="shared" si="1"/>
        <v>108</v>
      </c>
      <c r="V4" s="5">
        <f t="shared" si="2"/>
        <v>0.34083333333333332</v>
      </c>
      <c r="W4" s="3">
        <f t="shared" si="3"/>
        <v>40.9</v>
      </c>
      <c r="X4" s="3">
        <f t="shared" si="4"/>
        <v>122.69999999999999</v>
      </c>
      <c r="Y4" s="4">
        <f t="shared" si="5"/>
        <v>955097.63250000007</v>
      </c>
      <c r="Z4" s="4">
        <f t="shared" si="6"/>
        <v>2802242.4425427876</v>
      </c>
      <c r="AA4" s="3">
        <v>120</v>
      </c>
      <c r="AB4" s="3">
        <v>40.9</v>
      </c>
      <c r="AC4" s="2" t="s">
        <v>133</v>
      </c>
      <c r="AD4" s="2" t="s">
        <v>53</v>
      </c>
      <c r="AE4" s="6">
        <f t="shared" si="7"/>
        <v>0.625</v>
      </c>
      <c r="AF4" s="6">
        <f t="shared" si="8"/>
        <v>0.67</v>
      </c>
      <c r="AG4" s="6">
        <f t="shared" si="9"/>
        <v>0.63400000000000001</v>
      </c>
      <c r="AH4" s="6">
        <v>0.5</v>
      </c>
      <c r="AI4" s="6">
        <v>0.95</v>
      </c>
      <c r="AJ4" s="6">
        <v>1</v>
      </c>
      <c r="AK4" s="6">
        <v>0.5</v>
      </c>
      <c r="AL4" s="6">
        <v>0.5</v>
      </c>
      <c r="AM4" s="6">
        <v>1</v>
      </c>
      <c r="AN4" s="6">
        <v>1</v>
      </c>
      <c r="AO4" s="6">
        <v>0.5</v>
      </c>
      <c r="AP4" s="6">
        <v>0.5</v>
      </c>
      <c r="AQ4" s="6">
        <v>1</v>
      </c>
      <c r="AR4" s="6">
        <v>0.5</v>
      </c>
      <c r="AS4" s="6">
        <v>0.5</v>
      </c>
      <c r="AT4" s="6">
        <v>0.5</v>
      </c>
      <c r="AU4" s="6">
        <v>0.5</v>
      </c>
      <c r="AV4" s="6">
        <v>0</v>
      </c>
      <c r="AW4" s="6">
        <v>0</v>
      </c>
      <c r="AX4" s="66">
        <v>0.5</v>
      </c>
      <c r="AY4" s="66">
        <v>0.5</v>
      </c>
      <c r="AZ4" s="65" t="s">
        <v>332</v>
      </c>
      <c r="BA4" s="65" t="s">
        <v>332</v>
      </c>
      <c r="BB4" s="65" t="s">
        <v>8</v>
      </c>
      <c r="BC4" s="65" t="s">
        <v>334</v>
      </c>
      <c r="BD4" s="65" t="s">
        <v>334</v>
      </c>
      <c r="BE4" s="65" t="s">
        <v>7</v>
      </c>
      <c r="BF4" s="65" t="s">
        <v>7</v>
      </c>
      <c r="BG4" s="65" t="s">
        <v>332</v>
      </c>
      <c r="BH4" s="65" t="s">
        <v>332</v>
      </c>
      <c r="BI4" s="65" t="s">
        <v>7</v>
      </c>
      <c r="BJ4" s="65" t="s">
        <v>334</v>
      </c>
      <c r="BK4" s="65" t="s">
        <v>334</v>
      </c>
      <c r="BL4" s="65" t="s">
        <v>334</v>
      </c>
      <c r="BM4" s="65" t="s">
        <v>334</v>
      </c>
      <c r="BN4" s="65" t="s">
        <v>332</v>
      </c>
      <c r="BO4" s="65" t="s">
        <v>332</v>
      </c>
      <c r="BP4" s="65" t="s">
        <v>334</v>
      </c>
      <c r="BQ4" s="65" t="s">
        <v>334</v>
      </c>
    </row>
    <row r="5" spans="1:69" x14ac:dyDescent="0.25">
      <c r="A5" s="8">
        <v>34</v>
      </c>
      <c r="B5" s="2">
        <v>4</v>
      </c>
      <c r="C5" s="8" t="s">
        <v>291</v>
      </c>
      <c r="D5" s="2" t="s">
        <v>291</v>
      </c>
      <c r="E5" s="2" t="s">
        <v>29</v>
      </c>
      <c r="F5" s="8" t="s">
        <v>292</v>
      </c>
      <c r="G5" s="8" t="s">
        <v>368</v>
      </c>
      <c r="H5" s="8" t="s">
        <v>293</v>
      </c>
      <c r="I5" s="8" t="s">
        <v>294</v>
      </c>
      <c r="J5" s="8" t="s">
        <v>295</v>
      </c>
      <c r="K5" s="8" t="s">
        <v>31</v>
      </c>
      <c r="L5" s="9">
        <v>3</v>
      </c>
      <c r="M5" s="51">
        <v>46388</v>
      </c>
      <c r="N5" s="51">
        <v>46935</v>
      </c>
      <c r="O5" s="51">
        <v>46212</v>
      </c>
      <c r="P5" s="4">
        <v>161106071.69999999</v>
      </c>
      <c r="Q5" s="4" t="s">
        <v>359</v>
      </c>
      <c r="R5" s="33" t="s">
        <v>329</v>
      </c>
      <c r="S5" s="10">
        <v>0.3</v>
      </c>
      <c r="T5" s="9">
        <f t="shared" si="0"/>
        <v>37.5</v>
      </c>
      <c r="U5" s="9">
        <f t="shared" si="1"/>
        <v>112.5</v>
      </c>
      <c r="V5" s="10">
        <f t="shared" si="2"/>
        <v>0.3</v>
      </c>
      <c r="W5" s="9">
        <f t="shared" si="3"/>
        <v>37.5</v>
      </c>
      <c r="X5" s="9">
        <f t="shared" si="4"/>
        <v>112.5</v>
      </c>
      <c r="Y5" s="11">
        <f t="shared" si="5"/>
        <v>1288848.5736</v>
      </c>
      <c r="Z5" s="11">
        <f t="shared" si="6"/>
        <v>4296161.9119999995</v>
      </c>
      <c r="AA5" s="9">
        <v>125</v>
      </c>
      <c r="AB5" s="9">
        <v>37.5</v>
      </c>
      <c r="AC5" s="8" t="s">
        <v>152</v>
      </c>
      <c r="AD5" s="8" t="s">
        <v>30</v>
      </c>
      <c r="AE5" s="6">
        <f t="shared" si="7"/>
        <v>0.87500000000000022</v>
      </c>
      <c r="AF5" s="6">
        <f t="shared" si="8"/>
        <v>0.80000000000000027</v>
      </c>
      <c r="AG5" s="6">
        <f t="shared" si="9"/>
        <v>0.86000000000000021</v>
      </c>
      <c r="AH5" s="6">
        <v>1</v>
      </c>
      <c r="AI5" s="6">
        <v>0</v>
      </c>
      <c r="AJ5" s="6">
        <v>1</v>
      </c>
      <c r="AK5" s="6">
        <v>0.9</v>
      </c>
      <c r="AL5" s="6">
        <v>0.9</v>
      </c>
      <c r="AM5" s="6">
        <v>0.8</v>
      </c>
      <c r="AN5" s="6">
        <v>1</v>
      </c>
      <c r="AO5" s="6">
        <v>1</v>
      </c>
      <c r="AP5" s="6">
        <v>1</v>
      </c>
      <c r="AQ5" s="6">
        <v>0.3</v>
      </c>
      <c r="AR5" s="6">
        <v>0.9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0.8</v>
      </c>
      <c r="AY5" s="6">
        <v>0.8</v>
      </c>
      <c r="AZ5" s="54" t="s">
        <v>8</v>
      </c>
      <c r="BA5" s="67" t="s">
        <v>332</v>
      </c>
      <c r="BB5" s="55" t="s">
        <v>8</v>
      </c>
      <c r="BC5" s="55" t="s">
        <v>334</v>
      </c>
      <c r="BD5" s="55" t="s">
        <v>334</v>
      </c>
      <c r="BE5" s="55" t="s">
        <v>334</v>
      </c>
      <c r="BF5" s="67" t="s">
        <v>7</v>
      </c>
      <c r="BG5" s="55" t="s">
        <v>8</v>
      </c>
      <c r="BH5" s="55" t="s">
        <v>8</v>
      </c>
      <c r="BI5" s="55" t="s">
        <v>367</v>
      </c>
      <c r="BJ5" s="55" t="s">
        <v>334</v>
      </c>
      <c r="BK5" s="67" t="s">
        <v>7</v>
      </c>
      <c r="BL5" s="55" t="s">
        <v>8</v>
      </c>
      <c r="BM5" s="55" t="s">
        <v>8</v>
      </c>
      <c r="BN5" s="55" t="s">
        <v>8</v>
      </c>
      <c r="BO5" s="55" t="s">
        <v>8</v>
      </c>
      <c r="BP5" s="55" t="s">
        <v>334</v>
      </c>
      <c r="BQ5" s="55" t="s">
        <v>334</v>
      </c>
    </row>
    <row r="6" spans="1:69" x14ac:dyDescent="0.25">
      <c r="A6" s="2">
        <v>24</v>
      </c>
      <c r="B6" s="2">
        <v>5</v>
      </c>
      <c r="C6" s="2" t="s">
        <v>248</v>
      </c>
      <c r="D6" s="2" t="s">
        <v>248</v>
      </c>
      <c r="E6" s="2" t="s">
        <v>55</v>
      </c>
      <c r="F6" s="2" t="s">
        <v>249</v>
      </c>
      <c r="G6" s="2" t="s">
        <v>368</v>
      </c>
      <c r="H6" s="2" t="s">
        <v>250</v>
      </c>
      <c r="I6" s="2" t="s">
        <v>251</v>
      </c>
      <c r="J6" s="2" t="s">
        <v>252</v>
      </c>
      <c r="K6" s="2" t="s">
        <v>56</v>
      </c>
      <c r="L6" s="3">
        <v>3</v>
      </c>
      <c r="M6" s="50">
        <v>46447</v>
      </c>
      <c r="N6" s="50">
        <v>47118</v>
      </c>
      <c r="O6" s="50">
        <v>46206</v>
      </c>
      <c r="P6" s="4">
        <v>98564828</v>
      </c>
      <c r="Q6" s="4" t="s">
        <v>358</v>
      </c>
      <c r="R6" s="2" t="s">
        <v>253</v>
      </c>
      <c r="S6" s="5">
        <v>0.3</v>
      </c>
      <c r="T6" s="3">
        <f t="shared" si="0"/>
        <v>30</v>
      </c>
      <c r="U6" s="3">
        <f t="shared" si="1"/>
        <v>90</v>
      </c>
      <c r="V6" s="5">
        <f t="shared" si="2"/>
        <v>0.3</v>
      </c>
      <c r="W6" s="3">
        <f t="shared" si="3"/>
        <v>30</v>
      </c>
      <c r="X6" s="3">
        <f t="shared" si="4"/>
        <v>90</v>
      </c>
      <c r="Y6" s="4">
        <f t="shared" si="5"/>
        <v>985648.28</v>
      </c>
      <c r="Z6" s="4">
        <f t="shared" si="6"/>
        <v>3285494.2666666666</v>
      </c>
      <c r="AA6" s="3">
        <v>100</v>
      </c>
      <c r="AB6" s="3">
        <v>30</v>
      </c>
      <c r="AC6" s="2" t="s">
        <v>152</v>
      </c>
      <c r="AD6" s="2" t="s">
        <v>254</v>
      </c>
      <c r="AE6" s="6">
        <f t="shared" si="7"/>
        <v>0.83000000000000029</v>
      </c>
      <c r="AF6" s="6">
        <f t="shared" si="8"/>
        <v>0.57500000000000007</v>
      </c>
      <c r="AG6" s="6">
        <f t="shared" si="9"/>
        <v>0.77900000000000025</v>
      </c>
      <c r="AH6" s="6">
        <v>0.9</v>
      </c>
      <c r="AI6" s="6">
        <v>0.5</v>
      </c>
      <c r="AJ6" s="6">
        <v>1</v>
      </c>
      <c r="AK6" s="6">
        <v>0.8</v>
      </c>
      <c r="AL6" s="6">
        <v>0.6</v>
      </c>
      <c r="AM6" s="6">
        <v>0.5</v>
      </c>
      <c r="AN6" s="64">
        <v>0</v>
      </c>
      <c r="AO6" s="64">
        <v>1</v>
      </c>
      <c r="AP6" s="64">
        <v>1</v>
      </c>
      <c r="AQ6" s="64">
        <v>0.3</v>
      </c>
      <c r="AR6" s="64">
        <v>1</v>
      </c>
      <c r="AS6" s="6">
        <v>0.5</v>
      </c>
      <c r="AT6" s="6">
        <v>1</v>
      </c>
      <c r="AU6" s="6">
        <v>0</v>
      </c>
      <c r="AV6" s="6">
        <v>1</v>
      </c>
      <c r="AW6" s="6">
        <v>0</v>
      </c>
      <c r="AX6" s="6">
        <v>1</v>
      </c>
      <c r="AY6" s="6">
        <v>1</v>
      </c>
      <c r="AZ6" s="54" t="s">
        <v>333</v>
      </c>
      <c r="BA6" s="65" t="s">
        <v>332</v>
      </c>
      <c r="BB6" s="55" t="s">
        <v>8</v>
      </c>
      <c r="BC6" s="55" t="s">
        <v>334</v>
      </c>
      <c r="BD6" s="63" t="s">
        <v>334</v>
      </c>
      <c r="BE6" s="55" t="s">
        <v>332</v>
      </c>
      <c r="BF6" s="65" t="s">
        <v>332</v>
      </c>
      <c r="BG6" s="63" t="s">
        <v>8</v>
      </c>
      <c r="BH6" s="63" t="s">
        <v>8</v>
      </c>
      <c r="BI6" s="55" t="s">
        <v>367</v>
      </c>
      <c r="BJ6" s="55" t="s">
        <v>8</v>
      </c>
      <c r="BK6" s="65" t="s">
        <v>334</v>
      </c>
      <c r="BL6" s="55" t="s">
        <v>8</v>
      </c>
      <c r="BM6" s="65" t="s">
        <v>332</v>
      </c>
      <c r="BN6" s="55" t="s">
        <v>8</v>
      </c>
      <c r="BO6" s="65" t="s">
        <v>332</v>
      </c>
      <c r="BP6" s="55" t="s">
        <v>8</v>
      </c>
      <c r="BQ6" s="65" t="s">
        <v>8</v>
      </c>
    </row>
    <row r="7" spans="1:69" x14ac:dyDescent="0.25">
      <c r="A7" s="2">
        <v>25</v>
      </c>
      <c r="B7" s="2">
        <v>6</v>
      </c>
      <c r="C7" s="2" t="s">
        <v>255</v>
      </c>
      <c r="D7" s="2" t="s">
        <v>255</v>
      </c>
      <c r="E7" s="2" t="s">
        <v>57</v>
      </c>
      <c r="F7" s="2" t="s">
        <v>249</v>
      </c>
      <c r="G7" s="2" t="s">
        <v>368</v>
      </c>
      <c r="H7" s="2" t="s">
        <v>256</v>
      </c>
      <c r="I7" s="2" t="s">
        <v>251</v>
      </c>
      <c r="J7" s="2" t="s">
        <v>252</v>
      </c>
      <c r="K7" s="2" t="s">
        <v>56</v>
      </c>
      <c r="L7" s="3">
        <v>3</v>
      </c>
      <c r="M7" s="50">
        <v>46447</v>
      </c>
      <c r="N7" s="50">
        <v>47118</v>
      </c>
      <c r="O7" s="50">
        <v>46206</v>
      </c>
      <c r="P7" s="4">
        <v>99932858</v>
      </c>
      <c r="Q7" s="4" t="s">
        <v>359</v>
      </c>
      <c r="R7" s="2" t="s">
        <v>253</v>
      </c>
      <c r="S7" s="5">
        <v>0.3</v>
      </c>
      <c r="T7" s="3">
        <f t="shared" si="0"/>
        <v>30</v>
      </c>
      <c r="U7" s="3">
        <f t="shared" si="1"/>
        <v>90</v>
      </c>
      <c r="V7" s="5">
        <f t="shared" si="2"/>
        <v>0.3</v>
      </c>
      <c r="W7" s="3">
        <f t="shared" si="3"/>
        <v>30</v>
      </c>
      <c r="X7" s="3">
        <f t="shared" si="4"/>
        <v>90</v>
      </c>
      <c r="Y7" s="4">
        <f t="shared" si="5"/>
        <v>999328.58</v>
      </c>
      <c r="Z7" s="4">
        <f t="shared" si="6"/>
        <v>3331095.2666666666</v>
      </c>
      <c r="AA7" s="3">
        <v>100</v>
      </c>
      <c r="AB7" s="3">
        <v>30</v>
      </c>
      <c r="AC7" s="2" t="s">
        <v>257</v>
      </c>
      <c r="AD7" s="2" t="s">
        <v>58</v>
      </c>
      <c r="AE7" s="6">
        <f t="shared" si="7"/>
        <v>0.625</v>
      </c>
      <c r="AF7" s="6">
        <f t="shared" si="8"/>
        <v>0.40999999999999992</v>
      </c>
      <c r="AG7" s="6">
        <f t="shared" si="9"/>
        <v>0.58199999999999996</v>
      </c>
      <c r="AH7" s="6">
        <v>0.7</v>
      </c>
      <c r="AI7" s="6">
        <v>0.7</v>
      </c>
      <c r="AJ7" s="6">
        <v>1</v>
      </c>
      <c r="AK7" s="6">
        <v>0.7</v>
      </c>
      <c r="AL7" s="6">
        <v>0</v>
      </c>
      <c r="AM7" s="6">
        <v>0</v>
      </c>
      <c r="AN7" s="6">
        <v>0</v>
      </c>
      <c r="AO7" s="6">
        <v>0.7</v>
      </c>
      <c r="AP7" s="6">
        <v>0.7</v>
      </c>
      <c r="AQ7" s="6">
        <v>1</v>
      </c>
      <c r="AR7" s="6">
        <v>0.5</v>
      </c>
      <c r="AS7" s="6">
        <v>0</v>
      </c>
      <c r="AT7" s="6">
        <v>0</v>
      </c>
      <c r="AU7" s="6">
        <v>0</v>
      </c>
      <c r="AV7" s="6">
        <v>1</v>
      </c>
      <c r="AW7" s="6">
        <v>0</v>
      </c>
      <c r="AX7" s="6">
        <v>0</v>
      </c>
      <c r="AY7" s="6">
        <v>0</v>
      </c>
      <c r="AZ7" s="67" t="s">
        <v>333</v>
      </c>
      <c r="BA7" s="67" t="s">
        <v>332</v>
      </c>
      <c r="BB7" s="67" t="s">
        <v>8</v>
      </c>
      <c r="BC7" s="67" t="s">
        <v>334</v>
      </c>
      <c r="BD7" s="67" t="s">
        <v>332</v>
      </c>
      <c r="BE7" s="67" t="s">
        <v>332</v>
      </c>
      <c r="BF7" s="67" t="s">
        <v>332</v>
      </c>
      <c r="BG7" s="67" t="s">
        <v>334</v>
      </c>
      <c r="BH7" s="67" t="s">
        <v>334</v>
      </c>
      <c r="BI7" s="67" t="s">
        <v>7</v>
      </c>
      <c r="BJ7" s="67" t="s">
        <v>334</v>
      </c>
      <c r="BK7" s="67" t="s">
        <v>332</v>
      </c>
      <c r="BL7" s="67" t="s">
        <v>332</v>
      </c>
      <c r="BM7" s="67" t="s">
        <v>332</v>
      </c>
      <c r="BN7" s="67" t="s">
        <v>8</v>
      </c>
      <c r="BO7" s="67" t="s">
        <v>332</v>
      </c>
      <c r="BP7" s="67" t="s">
        <v>332</v>
      </c>
      <c r="BQ7" s="67" t="s">
        <v>332</v>
      </c>
    </row>
    <row r="8" spans="1:69" x14ac:dyDescent="0.25">
      <c r="A8" s="2">
        <v>31</v>
      </c>
      <c r="B8" s="2">
        <v>7</v>
      </c>
      <c r="C8" s="32" t="s">
        <v>281</v>
      </c>
      <c r="D8" s="2" t="s">
        <v>281</v>
      </c>
      <c r="E8" s="2" t="s">
        <v>20</v>
      </c>
      <c r="F8" s="2" t="s">
        <v>282</v>
      </c>
      <c r="G8" s="2" t="s">
        <v>368</v>
      </c>
      <c r="H8" s="2" t="s">
        <v>283</v>
      </c>
      <c r="I8" s="32" t="s">
        <v>284</v>
      </c>
      <c r="J8" s="32" t="s">
        <v>285</v>
      </c>
      <c r="K8" s="32" t="s">
        <v>22</v>
      </c>
      <c r="L8" s="3">
        <v>3</v>
      </c>
      <c r="M8" s="50">
        <v>46478</v>
      </c>
      <c r="N8" s="50">
        <v>47209</v>
      </c>
      <c r="O8" s="50">
        <v>46283</v>
      </c>
      <c r="P8" s="42" t="s">
        <v>360</v>
      </c>
      <c r="Q8" s="42" t="s">
        <v>359</v>
      </c>
      <c r="R8" s="34" t="s">
        <v>328</v>
      </c>
      <c r="S8" s="5">
        <v>0.3</v>
      </c>
      <c r="T8" s="3">
        <f t="shared" si="0"/>
        <v>101.7</v>
      </c>
      <c r="U8" s="3">
        <f t="shared" si="1"/>
        <v>305.10000000000002</v>
      </c>
      <c r="V8" s="5">
        <f t="shared" si="2"/>
        <v>0.3</v>
      </c>
      <c r="W8" s="3">
        <f t="shared" si="3"/>
        <v>101.7</v>
      </c>
      <c r="X8" s="3">
        <f t="shared" si="4"/>
        <v>305.10000000000002</v>
      </c>
      <c r="Y8" s="4" t="e">
        <f t="shared" si="5"/>
        <v>#VALUE!</v>
      </c>
      <c r="Z8" s="4" t="e">
        <f t="shared" si="6"/>
        <v>#VALUE!</v>
      </c>
      <c r="AA8" s="3">
        <v>339</v>
      </c>
      <c r="AB8" s="3">
        <v>101.7</v>
      </c>
      <c r="AC8" s="2" t="s">
        <v>133</v>
      </c>
      <c r="AD8" s="2" t="s">
        <v>21</v>
      </c>
      <c r="AE8" s="6">
        <f t="shared" si="7"/>
        <v>0.83750000000000013</v>
      </c>
      <c r="AF8" s="6">
        <f t="shared" si="8"/>
        <v>0.83750000000000013</v>
      </c>
      <c r="AG8" s="6">
        <f t="shared" si="9"/>
        <v>0.83750000000000013</v>
      </c>
      <c r="AH8" s="6">
        <v>1</v>
      </c>
      <c r="AI8" s="6">
        <v>1</v>
      </c>
      <c r="AJ8" s="6">
        <v>0.8</v>
      </c>
      <c r="AK8" s="6">
        <v>0.9</v>
      </c>
      <c r="AL8" s="6">
        <v>0.9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0.05</v>
      </c>
      <c r="AU8" s="6">
        <v>0.05</v>
      </c>
      <c r="AV8" s="6">
        <v>0.5</v>
      </c>
      <c r="AW8" s="6">
        <v>0.5</v>
      </c>
      <c r="AX8" s="6">
        <v>0</v>
      </c>
      <c r="AY8" s="6">
        <v>0</v>
      </c>
      <c r="AZ8" s="54" t="s">
        <v>8</v>
      </c>
      <c r="BA8" s="54" t="s">
        <v>8</v>
      </c>
      <c r="BB8" s="55" t="s">
        <v>333</v>
      </c>
      <c r="BC8" s="55" t="s">
        <v>334</v>
      </c>
      <c r="BD8" s="55" t="s">
        <v>334</v>
      </c>
      <c r="BE8" s="55" t="s">
        <v>7</v>
      </c>
      <c r="BF8" s="55" t="s">
        <v>7</v>
      </c>
      <c r="BG8" s="55" t="s">
        <v>8</v>
      </c>
      <c r="BH8" s="55" t="s">
        <v>8</v>
      </c>
      <c r="BI8" s="55" t="s">
        <v>7</v>
      </c>
      <c r="BJ8" s="55" t="s">
        <v>8</v>
      </c>
      <c r="BK8" s="55" t="s">
        <v>8</v>
      </c>
      <c r="BL8" s="55" t="s">
        <v>332</v>
      </c>
      <c r="BM8" s="55" t="s">
        <v>332</v>
      </c>
      <c r="BN8" s="55" t="s">
        <v>334</v>
      </c>
      <c r="BO8" s="55" t="s">
        <v>334</v>
      </c>
      <c r="BP8" s="55" t="s">
        <v>332</v>
      </c>
      <c r="BQ8" s="55" t="s">
        <v>332</v>
      </c>
    </row>
    <row r="9" spans="1:69" x14ac:dyDescent="0.25">
      <c r="A9" s="2">
        <v>32</v>
      </c>
      <c r="B9" s="2">
        <v>8</v>
      </c>
      <c r="C9" s="32" t="s">
        <v>287</v>
      </c>
      <c r="D9" s="2" t="s">
        <v>287</v>
      </c>
      <c r="E9" s="2" t="s">
        <v>23</v>
      </c>
      <c r="F9" s="2" t="s">
        <v>282</v>
      </c>
      <c r="G9" s="2" t="s">
        <v>368</v>
      </c>
      <c r="H9" s="2" t="s">
        <v>283</v>
      </c>
      <c r="I9" s="32" t="s">
        <v>288</v>
      </c>
      <c r="J9" s="32" t="s">
        <v>289</v>
      </c>
      <c r="K9" s="32" t="s">
        <v>24</v>
      </c>
      <c r="L9" s="3">
        <v>3</v>
      </c>
      <c r="M9" s="50">
        <v>46478</v>
      </c>
      <c r="N9" s="50">
        <v>47209</v>
      </c>
      <c r="O9" s="50">
        <v>46283</v>
      </c>
      <c r="P9" s="4">
        <v>925310833</v>
      </c>
      <c r="Q9" s="4" t="s">
        <v>359</v>
      </c>
      <c r="R9" s="34" t="s">
        <v>328</v>
      </c>
      <c r="S9" s="5">
        <v>0.3</v>
      </c>
      <c r="T9" s="3">
        <f t="shared" si="0"/>
        <v>54</v>
      </c>
      <c r="U9" s="3">
        <f t="shared" si="1"/>
        <v>162</v>
      </c>
      <c r="V9" s="5">
        <f t="shared" si="2"/>
        <v>0.3</v>
      </c>
      <c r="W9" s="3">
        <f t="shared" si="3"/>
        <v>54</v>
      </c>
      <c r="X9" s="3">
        <f t="shared" si="4"/>
        <v>162</v>
      </c>
      <c r="Y9" s="4">
        <f t="shared" si="5"/>
        <v>5140615.7388888886</v>
      </c>
      <c r="Z9" s="4">
        <f t="shared" si="6"/>
        <v>17135385.796296295</v>
      </c>
      <c r="AA9" s="3">
        <v>180</v>
      </c>
      <c r="AB9" s="3">
        <v>54</v>
      </c>
      <c r="AC9" s="2" t="s">
        <v>133</v>
      </c>
      <c r="AD9" s="2" t="s">
        <v>21</v>
      </c>
      <c r="AE9" s="6">
        <f t="shared" si="7"/>
        <v>0.83750000000000013</v>
      </c>
      <c r="AF9" s="6">
        <f t="shared" si="8"/>
        <v>0.83750000000000013</v>
      </c>
      <c r="AG9" s="6">
        <f t="shared" si="9"/>
        <v>0.83750000000000013</v>
      </c>
      <c r="AH9" s="6">
        <v>1</v>
      </c>
      <c r="AI9" s="6">
        <v>1</v>
      </c>
      <c r="AJ9" s="6">
        <v>0.8</v>
      </c>
      <c r="AK9" s="6">
        <v>0.9</v>
      </c>
      <c r="AL9" s="6">
        <v>0.9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>
        <v>1</v>
      </c>
      <c r="AS9" s="6">
        <v>1</v>
      </c>
      <c r="AT9" s="6">
        <v>0.05</v>
      </c>
      <c r="AU9" s="6">
        <v>0.05</v>
      </c>
      <c r="AV9" s="6">
        <v>0.5</v>
      </c>
      <c r="AW9" s="6">
        <v>0.5</v>
      </c>
      <c r="AX9" s="6">
        <v>0</v>
      </c>
      <c r="AY9" s="6">
        <v>0</v>
      </c>
      <c r="AZ9" s="54" t="s">
        <v>8</v>
      </c>
      <c r="BA9" s="54" t="s">
        <v>8</v>
      </c>
      <c r="BB9" s="55" t="s">
        <v>333</v>
      </c>
      <c r="BC9" s="55" t="s">
        <v>334</v>
      </c>
      <c r="BD9" s="55" t="s">
        <v>334</v>
      </c>
      <c r="BE9" s="55" t="s">
        <v>7</v>
      </c>
      <c r="BF9" s="55" t="s">
        <v>7</v>
      </c>
      <c r="BG9" s="55" t="s">
        <v>8</v>
      </c>
      <c r="BH9" s="55" t="s">
        <v>8</v>
      </c>
      <c r="BI9" s="55" t="s">
        <v>7</v>
      </c>
      <c r="BJ9" s="55" t="s">
        <v>8</v>
      </c>
      <c r="BK9" s="55" t="s">
        <v>8</v>
      </c>
      <c r="BL9" s="55" t="s">
        <v>332</v>
      </c>
      <c r="BM9" s="55" t="s">
        <v>332</v>
      </c>
      <c r="BN9" s="55" t="s">
        <v>334</v>
      </c>
      <c r="BO9" s="55" t="s">
        <v>334</v>
      </c>
      <c r="BP9" s="55" t="s">
        <v>332</v>
      </c>
      <c r="BQ9" s="55" t="s">
        <v>332</v>
      </c>
    </row>
    <row r="10" spans="1:69" x14ac:dyDescent="0.25">
      <c r="A10" s="2">
        <v>33</v>
      </c>
      <c r="B10" s="2">
        <v>9</v>
      </c>
      <c r="C10" s="32" t="s">
        <v>290</v>
      </c>
      <c r="D10" s="2" t="s">
        <v>290</v>
      </c>
      <c r="E10" s="2" t="s">
        <v>28</v>
      </c>
      <c r="F10" s="2" t="s">
        <v>282</v>
      </c>
      <c r="G10" s="2" t="s">
        <v>368</v>
      </c>
      <c r="H10" s="2" t="s">
        <v>283</v>
      </c>
      <c r="I10" s="32" t="s">
        <v>284</v>
      </c>
      <c r="J10" s="32" t="s">
        <v>285</v>
      </c>
      <c r="K10" s="32" t="s">
        <v>22</v>
      </c>
      <c r="L10" s="3">
        <v>3</v>
      </c>
      <c r="M10" s="50">
        <v>46478</v>
      </c>
      <c r="N10" s="50">
        <v>47209</v>
      </c>
      <c r="O10" s="50">
        <v>46283</v>
      </c>
      <c r="P10" s="42" t="s">
        <v>360</v>
      </c>
      <c r="Q10" s="42" t="s">
        <v>359</v>
      </c>
      <c r="R10" s="34" t="s">
        <v>328</v>
      </c>
      <c r="S10" s="5">
        <v>0.3</v>
      </c>
      <c r="T10" s="3">
        <f t="shared" si="0"/>
        <v>101.7</v>
      </c>
      <c r="U10" s="3">
        <f t="shared" si="1"/>
        <v>305.10000000000002</v>
      </c>
      <c r="V10" s="5">
        <f t="shared" si="2"/>
        <v>0.3</v>
      </c>
      <c r="W10" s="3">
        <f t="shared" si="3"/>
        <v>101.7</v>
      </c>
      <c r="X10" s="3">
        <f t="shared" si="4"/>
        <v>305.10000000000002</v>
      </c>
      <c r="Y10" s="4" t="e">
        <f t="shared" si="5"/>
        <v>#VALUE!</v>
      </c>
      <c r="Z10" s="4" t="e">
        <f t="shared" si="6"/>
        <v>#VALUE!</v>
      </c>
      <c r="AA10" s="3">
        <v>339</v>
      </c>
      <c r="AB10" s="3">
        <v>101.7</v>
      </c>
      <c r="AC10" s="2" t="s">
        <v>133</v>
      </c>
      <c r="AD10" s="2" t="s">
        <v>21</v>
      </c>
      <c r="AE10" s="6">
        <f t="shared" si="7"/>
        <v>0.82750000000000012</v>
      </c>
      <c r="AF10" s="6">
        <f t="shared" si="8"/>
        <v>0.82750000000000012</v>
      </c>
      <c r="AG10" s="6">
        <f t="shared" si="9"/>
        <v>0.82750000000000012</v>
      </c>
      <c r="AH10" s="6">
        <v>1</v>
      </c>
      <c r="AI10" s="6">
        <v>1</v>
      </c>
      <c r="AJ10" s="6">
        <v>0.8</v>
      </c>
      <c r="AK10" s="6">
        <v>0.9</v>
      </c>
      <c r="AL10" s="6">
        <v>0.9</v>
      </c>
      <c r="AM10" s="6">
        <v>0.9</v>
      </c>
      <c r="AN10" s="6">
        <v>0.9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0.05</v>
      </c>
      <c r="AU10" s="6">
        <v>0.05</v>
      </c>
      <c r="AV10" s="6">
        <v>0.5</v>
      </c>
      <c r="AW10" s="6">
        <v>0.5</v>
      </c>
      <c r="AX10" s="6">
        <v>0</v>
      </c>
      <c r="AY10" s="6">
        <v>0</v>
      </c>
      <c r="AZ10" s="54" t="s">
        <v>8</v>
      </c>
      <c r="BA10" s="54" t="s">
        <v>8</v>
      </c>
      <c r="BB10" s="55" t="s">
        <v>333</v>
      </c>
      <c r="BC10" s="55" t="s">
        <v>333</v>
      </c>
      <c r="BD10" s="55" t="s">
        <v>333</v>
      </c>
      <c r="BE10" s="55" t="s">
        <v>334</v>
      </c>
      <c r="BF10" s="55" t="s">
        <v>334</v>
      </c>
      <c r="BG10" s="55" t="s">
        <v>8</v>
      </c>
      <c r="BH10" s="55" t="s">
        <v>8</v>
      </c>
      <c r="BI10" s="55" t="s">
        <v>7</v>
      </c>
      <c r="BJ10" s="55" t="s">
        <v>8</v>
      </c>
      <c r="BK10" s="55" t="s">
        <v>8</v>
      </c>
      <c r="BL10" s="55" t="s">
        <v>332</v>
      </c>
      <c r="BM10" s="55" t="s">
        <v>332</v>
      </c>
      <c r="BN10" s="55" t="s">
        <v>7</v>
      </c>
      <c r="BO10" s="55" t="s">
        <v>7</v>
      </c>
      <c r="BP10" s="55" t="s">
        <v>332</v>
      </c>
      <c r="BQ10" s="55" t="s">
        <v>332</v>
      </c>
    </row>
    <row r="11" spans="1:69" x14ac:dyDescent="0.25">
      <c r="A11" s="13">
        <v>36</v>
      </c>
      <c r="B11" s="13">
        <v>10</v>
      </c>
      <c r="C11" s="13" t="s">
        <v>303</v>
      </c>
      <c r="D11" s="13" t="s">
        <v>303</v>
      </c>
      <c r="E11" s="13" t="s">
        <v>59</v>
      </c>
      <c r="F11" s="31" t="s">
        <v>304</v>
      </c>
      <c r="G11" s="13" t="s">
        <v>368</v>
      </c>
      <c r="H11" s="13" t="s">
        <v>267</v>
      </c>
      <c r="I11" s="13" t="s">
        <v>226</v>
      </c>
      <c r="J11" s="13" t="s">
        <v>305</v>
      </c>
      <c r="K11" s="13" t="s">
        <v>60</v>
      </c>
      <c r="L11" s="14" t="s">
        <v>301</v>
      </c>
      <c r="M11" s="52">
        <v>46507</v>
      </c>
      <c r="N11" s="52">
        <v>47238</v>
      </c>
      <c r="O11" s="52" t="s">
        <v>286</v>
      </c>
      <c r="P11" s="15" t="s">
        <v>286</v>
      </c>
      <c r="Q11" s="15" t="s">
        <v>359</v>
      </c>
      <c r="R11" s="15" t="s">
        <v>286</v>
      </c>
      <c r="S11" s="56">
        <v>0.3</v>
      </c>
      <c r="T11" s="14">
        <f t="shared" si="0"/>
        <v>90</v>
      </c>
      <c r="U11" s="14">
        <f t="shared" si="1"/>
        <v>270</v>
      </c>
      <c r="V11" s="56">
        <f t="shared" si="2"/>
        <v>0.3</v>
      </c>
      <c r="W11" s="14">
        <f t="shared" si="3"/>
        <v>90</v>
      </c>
      <c r="X11" s="14">
        <f t="shared" si="4"/>
        <v>270</v>
      </c>
      <c r="Y11" s="16" t="e">
        <f t="shared" si="5"/>
        <v>#VALUE!</v>
      </c>
      <c r="Z11" s="16" t="e">
        <f t="shared" si="6"/>
        <v>#VALUE!</v>
      </c>
      <c r="AA11" s="14">
        <v>300</v>
      </c>
      <c r="AB11" s="14">
        <v>90</v>
      </c>
      <c r="AC11" s="13" t="s">
        <v>138</v>
      </c>
      <c r="AD11" s="13" t="s">
        <v>33</v>
      </c>
      <c r="AE11" s="57">
        <f t="shared" si="7"/>
        <v>0.35000000000000003</v>
      </c>
      <c r="AF11" s="57">
        <f t="shared" si="8"/>
        <v>0.40000000000000008</v>
      </c>
      <c r="AG11" s="57">
        <f t="shared" si="9"/>
        <v>0.36000000000000004</v>
      </c>
      <c r="AH11" s="57">
        <v>0.5</v>
      </c>
      <c r="AI11" s="57">
        <v>1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0.5</v>
      </c>
      <c r="AP11" s="57">
        <v>0.5</v>
      </c>
      <c r="AQ11" s="57">
        <v>1</v>
      </c>
      <c r="AR11" s="57">
        <v>1</v>
      </c>
      <c r="AS11" s="57">
        <v>1</v>
      </c>
      <c r="AT11" s="57">
        <v>0.5</v>
      </c>
      <c r="AU11" s="57">
        <v>0.5</v>
      </c>
      <c r="AV11" s="57">
        <v>0.5</v>
      </c>
      <c r="AW11" s="57">
        <v>0.5</v>
      </c>
      <c r="AX11" s="57">
        <v>0</v>
      </c>
      <c r="AY11" s="57">
        <v>0</v>
      </c>
      <c r="AZ11" s="68" t="s">
        <v>333</v>
      </c>
      <c r="BA11" s="68" t="s">
        <v>8</v>
      </c>
      <c r="BB11" s="68" t="s">
        <v>332</v>
      </c>
      <c r="BC11" s="68" t="s">
        <v>332</v>
      </c>
      <c r="BD11" s="68" t="s">
        <v>332</v>
      </c>
      <c r="BE11" s="68" t="s">
        <v>332</v>
      </c>
      <c r="BF11" s="68" t="s">
        <v>332</v>
      </c>
      <c r="BG11" s="68" t="s">
        <v>333</v>
      </c>
      <c r="BH11" s="68" t="s">
        <v>333</v>
      </c>
      <c r="BI11" s="68" t="s">
        <v>7</v>
      </c>
      <c r="BJ11" s="68" t="s">
        <v>8</v>
      </c>
      <c r="BK11" s="68" t="s">
        <v>8</v>
      </c>
      <c r="BL11" s="68" t="s">
        <v>334</v>
      </c>
      <c r="BM11" s="68" t="s">
        <v>334</v>
      </c>
      <c r="BN11" s="68" t="s">
        <v>334</v>
      </c>
      <c r="BO11" s="68" t="s">
        <v>334</v>
      </c>
      <c r="BP11" s="68" t="s">
        <v>332</v>
      </c>
      <c r="BQ11" s="68" t="s">
        <v>332</v>
      </c>
    </row>
    <row r="12" spans="1:69" x14ac:dyDescent="0.25">
      <c r="A12" s="13">
        <v>38</v>
      </c>
      <c r="B12" s="13">
        <v>11</v>
      </c>
      <c r="C12" s="13" t="s">
        <v>307</v>
      </c>
      <c r="D12" s="13" t="s">
        <v>307</v>
      </c>
      <c r="E12" s="13" t="s">
        <v>61</v>
      </c>
      <c r="F12" s="31" t="s">
        <v>304</v>
      </c>
      <c r="G12" s="13" t="s">
        <v>368</v>
      </c>
      <c r="H12" s="13" t="s">
        <v>267</v>
      </c>
      <c r="I12" s="13" t="s">
        <v>226</v>
      </c>
      <c r="J12" s="13" t="s">
        <v>305</v>
      </c>
      <c r="K12" s="13" t="s">
        <v>60</v>
      </c>
      <c r="L12" s="14" t="s">
        <v>301</v>
      </c>
      <c r="M12" s="52">
        <v>46507</v>
      </c>
      <c r="N12" s="52">
        <v>47238</v>
      </c>
      <c r="O12" s="52" t="s">
        <v>286</v>
      </c>
      <c r="P12" s="15" t="s">
        <v>286</v>
      </c>
      <c r="Q12" s="15" t="s">
        <v>359</v>
      </c>
      <c r="R12" s="15" t="s">
        <v>286</v>
      </c>
      <c r="S12" s="56">
        <v>0.3</v>
      </c>
      <c r="T12" s="14">
        <f t="shared" si="0"/>
        <v>90</v>
      </c>
      <c r="U12" s="14">
        <f t="shared" si="1"/>
        <v>270</v>
      </c>
      <c r="V12" s="56">
        <f t="shared" si="2"/>
        <v>0.3</v>
      </c>
      <c r="W12" s="14">
        <f t="shared" si="3"/>
        <v>90</v>
      </c>
      <c r="X12" s="14">
        <f t="shared" si="4"/>
        <v>270</v>
      </c>
      <c r="Y12" s="16" t="e">
        <f t="shared" si="5"/>
        <v>#VALUE!</v>
      </c>
      <c r="Z12" s="16" t="e">
        <f t="shared" si="6"/>
        <v>#VALUE!</v>
      </c>
      <c r="AA12" s="14">
        <v>300</v>
      </c>
      <c r="AB12" s="14">
        <v>90</v>
      </c>
      <c r="AC12" s="13" t="s">
        <v>138</v>
      </c>
      <c r="AD12" s="13" t="s">
        <v>33</v>
      </c>
      <c r="AE12" s="57">
        <f t="shared" si="7"/>
        <v>0.35000000000000003</v>
      </c>
      <c r="AF12" s="57">
        <f t="shared" si="8"/>
        <v>0.35000000000000003</v>
      </c>
      <c r="AG12" s="57">
        <f t="shared" si="9"/>
        <v>0.35000000000000003</v>
      </c>
      <c r="AH12" s="57">
        <v>0.5</v>
      </c>
      <c r="AI12" s="57">
        <v>0.5</v>
      </c>
      <c r="AJ12" s="57">
        <v>0</v>
      </c>
      <c r="AK12" s="57">
        <v>0</v>
      </c>
      <c r="AL12" s="57">
        <v>0</v>
      </c>
      <c r="AM12" s="57">
        <v>0</v>
      </c>
      <c r="AN12" s="57">
        <v>0</v>
      </c>
      <c r="AO12" s="57">
        <v>0.5</v>
      </c>
      <c r="AP12" s="57">
        <v>0.5</v>
      </c>
      <c r="AQ12" s="57">
        <v>1</v>
      </c>
      <c r="AR12" s="57">
        <v>1</v>
      </c>
      <c r="AS12" s="57">
        <v>1</v>
      </c>
      <c r="AT12" s="57">
        <v>0.5</v>
      </c>
      <c r="AU12" s="57">
        <v>0.5</v>
      </c>
      <c r="AV12" s="57">
        <v>0</v>
      </c>
      <c r="AW12" s="57">
        <v>0</v>
      </c>
      <c r="AX12" s="57">
        <v>0.5</v>
      </c>
      <c r="AY12" s="57">
        <v>0.5</v>
      </c>
      <c r="AZ12" s="68" t="s">
        <v>333</v>
      </c>
      <c r="BA12" s="68" t="s">
        <v>332</v>
      </c>
      <c r="BB12" s="68" t="s">
        <v>332</v>
      </c>
      <c r="BC12" s="68" t="s">
        <v>332</v>
      </c>
      <c r="BD12" s="68" t="s">
        <v>332</v>
      </c>
      <c r="BE12" s="68" t="s">
        <v>332</v>
      </c>
      <c r="BF12" s="68" t="s">
        <v>332</v>
      </c>
      <c r="BG12" s="68" t="s">
        <v>334</v>
      </c>
      <c r="BH12" s="68" t="s">
        <v>334</v>
      </c>
      <c r="BI12" s="68" t="s">
        <v>7</v>
      </c>
      <c r="BJ12" s="68" t="s">
        <v>8</v>
      </c>
      <c r="BK12" s="68" t="s">
        <v>8</v>
      </c>
      <c r="BL12" s="68" t="s">
        <v>334</v>
      </c>
      <c r="BM12" s="68" t="s">
        <v>334</v>
      </c>
      <c r="BN12" s="68" t="s">
        <v>332</v>
      </c>
      <c r="BO12" s="68" t="s">
        <v>332</v>
      </c>
      <c r="BP12" s="68" t="s">
        <v>334</v>
      </c>
      <c r="BQ12" s="68" t="s">
        <v>334</v>
      </c>
    </row>
    <row r="13" spans="1:69" x14ac:dyDescent="0.25">
      <c r="A13" s="13">
        <v>37</v>
      </c>
      <c r="B13" s="13">
        <v>12</v>
      </c>
      <c r="C13" s="13" t="s">
        <v>306</v>
      </c>
      <c r="D13" s="13" t="s">
        <v>306</v>
      </c>
      <c r="E13" s="13" t="s">
        <v>62</v>
      </c>
      <c r="F13" s="31" t="s">
        <v>304</v>
      </c>
      <c r="G13" s="13" t="s">
        <v>368</v>
      </c>
      <c r="H13" s="13" t="s">
        <v>267</v>
      </c>
      <c r="I13" s="13" t="s">
        <v>226</v>
      </c>
      <c r="J13" s="13" t="s">
        <v>305</v>
      </c>
      <c r="K13" s="13" t="s">
        <v>60</v>
      </c>
      <c r="L13" s="14" t="s">
        <v>301</v>
      </c>
      <c r="M13" s="52">
        <v>46507</v>
      </c>
      <c r="N13" s="52">
        <v>47238</v>
      </c>
      <c r="O13" s="52" t="s">
        <v>286</v>
      </c>
      <c r="P13" s="15" t="s">
        <v>286</v>
      </c>
      <c r="Q13" s="15" t="s">
        <v>359</v>
      </c>
      <c r="R13" s="15" t="s">
        <v>286</v>
      </c>
      <c r="S13" s="56">
        <v>0.3</v>
      </c>
      <c r="T13" s="14">
        <f t="shared" si="0"/>
        <v>90</v>
      </c>
      <c r="U13" s="14">
        <f t="shared" si="1"/>
        <v>270</v>
      </c>
      <c r="V13" s="56">
        <f t="shared" si="2"/>
        <v>0.3</v>
      </c>
      <c r="W13" s="14">
        <f t="shared" si="3"/>
        <v>90</v>
      </c>
      <c r="X13" s="14">
        <f t="shared" si="4"/>
        <v>270</v>
      </c>
      <c r="Y13" s="16" t="e">
        <f t="shared" si="5"/>
        <v>#VALUE!</v>
      </c>
      <c r="Z13" s="16" t="e">
        <f t="shared" si="6"/>
        <v>#VALUE!</v>
      </c>
      <c r="AA13" s="14">
        <v>300</v>
      </c>
      <c r="AB13" s="14">
        <v>90</v>
      </c>
      <c r="AC13" s="13" t="s">
        <v>138</v>
      </c>
      <c r="AD13" s="13" t="s">
        <v>33</v>
      </c>
      <c r="AE13" s="57">
        <f t="shared" si="7"/>
        <v>0.49000000000000005</v>
      </c>
      <c r="AF13" s="57">
        <f t="shared" si="8"/>
        <v>0.53999999999999992</v>
      </c>
      <c r="AG13" s="57">
        <f t="shared" si="9"/>
        <v>0.5</v>
      </c>
      <c r="AH13" s="57">
        <v>0.5</v>
      </c>
      <c r="AI13" s="57">
        <v>1</v>
      </c>
      <c r="AJ13" s="57">
        <v>0</v>
      </c>
      <c r="AK13" s="57">
        <v>0.6</v>
      </c>
      <c r="AL13" s="57">
        <v>0.6</v>
      </c>
      <c r="AM13" s="57">
        <v>0</v>
      </c>
      <c r="AN13" s="57">
        <v>0</v>
      </c>
      <c r="AO13" s="57">
        <v>0.6</v>
      </c>
      <c r="AP13" s="57">
        <v>0.6</v>
      </c>
      <c r="AQ13" s="57">
        <v>1</v>
      </c>
      <c r="AR13" s="57">
        <v>1</v>
      </c>
      <c r="AS13" s="57">
        <v>1</v>
      </c>
      <c r="AT13" s="57">
        <v>0.5</v>
      </c>
      <c r="AU13" s="57">
        <v>0.5</v>
      </c>
      <c r="AV13" s="57">
        <v>0</v>
      </c>
      <c r="AW13" s="57">
        <v>0</v>
      </c>
      <c r="AX13" s="57">
        <v>0.5</v>
      </c>
      <c r="AY13" s="57">
        <v>0.5</v>
      </c>
      <c r="AZ13" s="68" t="s">
        <v>333</v>
      </c>
      <c r="BA13" s="68" t="s">
        <v>8</v>
      </c>
      <c r="BB13" s="68" t="s">
        <v>332</v>
      </c>
      <c r="BC13" s="68" t="s">
        <v>333</v>
      </c>
      <c r="BD13" s="68" t="s">
        <v>333</v>
      </c>
      <c r="BE13" s="68" t="s">
        <v>332</v>
      </c>
      <c r="BF13" s="68" t="s">
        <v>332</v>
      </c>
      <c r="BG13" s="68" t="s">
        <v>333</v>
      </c>
      <c r="BH13" s="68" t="s">
        <v>333</v>
      </c>
      <c r="BI13" s="68" t="s">
        <v>7</v>
      </c>
      <c r="BJ13" s="68" t="s">
        <v>8</v>
      </c>
      <c r="BK13" s="68" t="s">
        <v>8</v>
      </c>
      <c r="BL13" s="68" t="s">
        <v>334</v>
      </c>
      <c r="BM13" s="68" t="s">
        <v>334</v>
      </c>
      <c r="BN13" s="68" t="s">
        <v>332</v>
      </c>
      <c r="BO13" s="68" t="s">
        <v>332</v>
      </c>
      <c r="BP13" s="68" t="s">
        <v>334</v>
      </c>
      <c r="BQ13" s="68" t="s">
        <v>334</v>
      </c>
    </row>
    <row r="14" spans="1:69" x14ac:dyDescent="0.25">
      <c r="A14" s="2">
        <v>22</v>
      </c>
      <c r="B14" s="2">
        <v>13</v>
      </c>
      <c r="C14" s="2" t="s">
        <v>240</v>
      </c>
      <c r="D14" s="2" t="s">
        <v>240</v>
      </c>
      <c r="E14" s="2" t="s">
        <v>11</v>
      </c>
      <c r="F14" s="2" t="s">
        <v>224</v>
      </c>
      <c r="G14" s="2" t="s">
        <v>368</v>
      </c>
      <c r="H14" s="2" t="s">
        <v>241</v>
      </c>
      <c r="I14" s="2" t="s">
        <v>242</v>
      </c>
      <c r="J14" s="2" t="s">
        <v>243</v>
      </c>
      <c r="K14" s="2" t="s">
        <v>13</v>
      </c>
      <c r="L14" s="3">
        <v>3.2</v>
      </c>
      <c r="M14" s="50">
        <v>46388</v>
      </c>
      <c r="N14" s="50">
        <v>46935</v>
      </c>
      <c r="O14" s="50">
        <v>46206</v>
      </c>
      <c r="P14" s="4">
        <v>112351023</v>
      </c>
      <c r="Q14" s="4" t="s">
        <v>358</v>
      </c>
      <c r="R14" s="2" t="s">
        <v>228</v>
      </c>
      <c r="S14" s="5">
        <v>0.3</v>
      </c>
      <c r="T14" s="3">
        <f t="shared" si="0"/>
        <v>23.4</v>
      </c>
      <c r="U14" s="3">
        <f t="shared" si="1"/>
        <v>70.199999999999989</v>
      </c>
      <c r="V14" s="5">
        <f t="shared" si="2"/>
        <v>0.32935897435897438</v>
      </c>
      <c r="W14" s="3">
        <f t="shared" si="3"/>
        <v>25.69</v>
      </c>
      <c r="X14" s="3">
        <f t="shared" si="4"/>
        <v>77.070000000000007</v>
      </c>
      <c r="Y14" s="4">
        <f t="shared" si="5"/>
        <v>1440397.7307692308</v>
      </c>
      <c r="Z14" s="4">
        <f t="shared" si="6"/>
        <v>4373336.8236667961</v>
      </c>
      <c r="AA14" s="3">
        <v>78</v>
      </c>
      <c r="AB14" s="3">
        <v>25.69</v>
      </c>
      <c r="AC14" s="2" t="s">
        <v>160</v>
      </c>
      <c r="AD14" s="2" t="s">
        <v>12</v>
      </c>
      <c r="AE14" s="6">
        <f t="shared" si="7"/>
        <v>0.94000000000000017</v>
      </c>
      <c r="AF14" s="6">
        <f t="shared" si="8"/>
        <v>0.93000000000000016</v>
      </c>
      <c r="AG14" s="6">
        <f t="shared" si="9"/>
        <v>0.93800000000000028</v>
      </c>
      <c r="AH14" s="6">
        <v>1</v>
      </c>
      <c r="AI14" s="6">
        <v>0.9</v>
      </c>
      <c r="AJ14" s="6">
        <v>1</v>
      </c>
      <c r="AK14" s="6">
        <v>1</v>
      </c>
      <c r="AL14" s="6">
        <v>1</v>
      </c>
      <c r="AM14" s="6">
        <v>0.9</v>
      </c>
      <c r="AN14" s="6">
        <v>0.9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0.5</v>
      </c>
      <c r="AU14" s="6">
        <v>0.5</v>
      </c>
      <c r="AV14" s="6">
        <v>1</v>
      </c>
      <c r="AW14" s="6">
        <v>1</v>
      </c>
      <c r="AX14" s="6">
        <v>0.5</v>
      </c>
      <c r="AY14" s="6">
        <v>0.5</v>
      </c>
      <c r="AZ14" s="54" t="s">
        <v>8</v>
      </c>
      <c r="BA14" s="67" t="s">
        <v>332</v>
      </c>
      <c r="BB14" s="55" t="s">
        <v>8</v>
      </c>
      <c r="BC14" s="55" t="s">
        <v>8</v>
      </c>
      <c r="BD14" s="67" t="s">
        <v>8</v>
      </c>
      <c r="BE14" s="55" t="s">
        <v>334</v>
      </c>
      <c r="BF14" s="67" t="s">
        <v>334</v>
      </c>
      <c r="BG14" s="55" t="s">
        <v>8</v>
      </c>
      <c r="BH14" s="55" t="s">
        <v>8</v>
      </c>
      <c r="BI14" s="55" t="s">
        <v>7</v>
      </c>
      <c r="BJ14" s="55" t="s">
        <v>8</v>
      </c>
      <c r="BK14" s="55" t="s">
        <v>8</v>
      </c>
      <c r="BL14" s="55" t="s">
        <v>334</v>
      </c>
      <c r="BM14" s="55" t="s">
        <v>334</v>
      </c>
      <c r="BN14" s="55" t="s">
        <v>8</v>
      </c>
      <c r="BO14" s="55" t="s">
        <v>8</v>
      </c>
      <c r="BP14" s="55" t="s">
        <v>332</v>
      </c>
      <c r="BQ14" s="55" t="s">
        <v>332</v>
      </c>
    </row>
    <row r="15" spans="1:69" x14ac:dyDescent="0.25">
      <c r="A15" s="2">
        <v>19</v>
      </c>
      <c r="B15" s="2">
        <v>14</v>
      </c>
      <c r="C15" s="2" t="s">
        <v>230</v>
      </c>
      <c r="D15" s="2" t="s">
        <v>230</v>
      </c>
      <c r="E15" s="2" t="s">
        <v>40</v>
      </c>
      <c r="F15" s="2" t="s">
        <v>224</v>
      </c>
      <c r="G15" s="2" t="s">
        <v>368</v>
      </c>
      <c r="H15" s="2" t="s">
        <v>231</v>
      </c>
      <c r="I15" s="2" t="s">
        <v>232</v>
      </c>
      <c r="J15" s="2" t="s">
        <v>233</v>
      </c>
      <c r="K15" s="2" t="s">
        <v>42</v>
      </c>
      <c r="L15" s="3">
        <v>3</v>
      </c>
      <c r="M15" s="50">
        <v>46507</v>
      </c>
      <c r="N15" s="50">
        <v>47088</v>
      </c>
      <c r="O15" s="50">
        <v>46206</v>
      </c>
      <c r="P15" s="4">
        <v>111538383</v>
      </c>
      <c r="Q15" s="4" t="s">
        <v>359</v>
      </c>
      <c r="R15" s="2" t="s">
        <v>228</v>
      </c>
      <c r="S15" s="5">
        <v>0.3</v>
      </c>
      <c r="T15" s="3">
        <f t="shared" si="0"/>
        <v>21.599999999999998</v>
      </c>
      <c r="U15" s="3">
        <f t="shared" si="1"/>
        <v>64.8</v>
      </c>
      <c r="V15" s="5">
        <f t="shared" si="2"/>
        <v>0.30000000000000004</v>
      </c>
      <c r="W15" s="3">
        <f t="shared" si="3"/>
        <v>21.6</v>
      </c>
      <c r="X15" s="3">
        <f t="shared" si="4"/>
        <v>64.800000000000011</v>
      </c>
      <c r="Y15" s="4">
        <f t="shared" si="5"/>
        <v>1549144.2083333333</v>
      </c>
      <c r="Z15" s="4">
        <f t="shared" si="6"/>
        <v>5163814.0277777771</v>
      </c>
      <c r="AA15" s="3">
        <v>72</v>
      </c>
      <c r="AB15" s="3">
        <v>21.6</v>
      </c>
      <c r="AC15" s="2" t="s">
        <v>152</v>
      </c>
      <c r="AD15" s="2" t="s">
        <v>41</v>
      </c>
      <c r="AE15" s="6">
        <f t="shared" si="7"/>
        <v>0.75000000000000022</v>
      </c>
      <c r="AF15" s="6">
        <f t="shared" si="8"/>
        <v>0.75000000000000022</v>
      </c>
      <c r="AG15" s="6">
        <f t="shared" si="9"/>
        <v>0.75000000000000022</v>
      </c>
      <c r="AH15" s="6">
        <v>0.8</v>
      </c>
      <c r="AI15" s="6">
        <v>0.8</v>
      </c>
      <c r="AJ15" s="6">
        <v>1</v>
      </c>
      <c r="AK15" s="6">
        <v>0.8</v>
      </c>
      <c r="AL15" s="6">
        <v>0.8</v>
      </c>
      <c r="AM15" s="6">
        <v>1</v>
      </c>
      <c r="AN15" s="6">
        <v>1</v>
      </c>
      <c r="AO15" s="6">
        <v>0.8</v>
      </c>
      <c r="AP15" s="6">
        <v>0.8</v>
      </c>
      <c r="AQ15" s="6">
        <v>0</v>
      </c>
      <c r="AR15" s="6">
        <v>0.5</v>
      </c>
      <c r="AS15" s="6">
        <v>0.5</v>
      </c>
      <c r="AT15" s="6">
        <v>1</v>
      </c>
      <c r="AU15" s="6">
        <v>1</v>
      </c>
      <c r="AV15" s="6">
        <v>1</v>
      </c>
      <c r="AW15" s="6">
        <v>1</v>
      </c>
      <c r="AX15" s="6">
        <v>0.5</v>
      </c>
      <c r="AY15" s="6">
        <v>0.5</v>
      </c>
      <c r="AZ15" s="67" t="s">
        <v>332</v>
      </c>
      <c r="BA15" s="67" t="s">
        <v>332</v>
      </c>
      <c r="BB15" s="67" t="s">
        <v>8</v>
      </c>
      <c r="BC15" s="67" t="s">
        <v>334</v>
      </c>
      <c r="BD15" s="67" t="s">
        <v>334</v>
      </c>
      <c r="BE15" s="67" t="s">
        <v>7</v>
      </c>
      <c r="BF15" s="67" t="s">
        <v>7</v>
      </c>
      <c r="BG15" s="67" t="s">
        <v>334</v>
      </c>
      <c r="BH15" s="67" t="s">
        <v>334</v>
      </c>
      <c r="BI15" s="67" t="s">
        <v>332</v>
      </c>
      <c r="BJ15" s="67" t="s">
        <v>334</v>
      </c>
      <c r="BK15" s="67" t="s">
        <v>334</v>
      </c>
      <c r="BL15" s="67" t="s">
        <v>8</v>
      </c>
      <c r="BM15" s="67" t="s">
        <v>8</v>
      </c>
      <c r="BN15" s="67" t="s">
        <v>8</v>
      </c>
      <c r="BO15" s="67" t="s">
        <v>8</v>
      </c>
      <c r="BP15" s="67" t="s">
        <v>334</v>
      </c>
      <c r="BQ15" s="67" t="s">
        <v>334</v>
      </c>
    </row>
    <row r="16" spans="1:69" x14ac:dyDescent="0.25">
      <c r="A16" s="2">
        <v>18</v>
      </c>
      <c r="B16" s="2">
        <v>15</v>
      </c>
      <c r="C16" s="2" t="s">
        <v>223</v>
      </c>
      <c r="D16" s="2" t="s">
        <v>223</v>
      </c>
      <c r="E16" s="2" t="s">
        <v>63</v>
      </c>
      <c r="F16" s="2" t="s">
        <v>224</v>
      </c>
      <c r="G16" s="2" t="s">
        <v>369</v>
      </c>
      <c r="H16" s="2" t="s">
        <v>225</v>
      </c>
      <c r="I16" s="2" t="s">
        <v>226</v>
      </c>
      <c r="J16" s="2" t="s">
        <v>227</v>
      </c>
      <c r="K16" s="2" t="s">
        <v>60</v>
      </c>
      <c r="L16" s="3">
        <v>3</v>
      </c>
      <c r="M16" s="50">
        <v>46507</v>
      </c>
      <c r="N16" s="50">
        <v>47300</v>
      </c>
      <c r="O16" s="50">
        <v>46206</v>
      </c>
      <c r="P16" s="4">
        <v>563085927</v>
      </c>
      <c r="Q16" s="4" t="s">
        <v>359</v>
      </c>
      <c r="R16" s="2" t="s">
        <v>228</v>
      </c>
      <c r="S16" s="5">
        <v>0.3</v>
      </c>
      <c r="T16" s="3">
        <f t="shared" si="0"/>
        <v>90</v>
      </c>
      <c r="U16" s="3">
        <f t="shared" si="1"/>
        <v>270</v>
      </c>
      <c r="V16" s="5">
        <f t="shared" si="2"/>
        <v>0.3</v>
      </c>
      <c r="W16" s="3">
        <f t="shared" si="3"/>
        <v>90</v>
      </c>
      <c r="X16" s="3">
        <f t="shared" si="4"/>
        <v>270</v>
      </c>
      <c r="Y16" s="4">
        <f t="shared" si="5"/>
        <v>1876953.09</v>
      </c>
      <c r="Z16" s="4">
        <f t="shared" si="6"/>
        <v>6256510.2999999998</v>
      </c>
      <c r="AA16" s="3">
        <v>300</v>
      </c>
      <c r="AB16" s="3">
        <v>90</v>
      </c>
      <c r="AC16" s="2" t="s">
        <v>229</v>
      </c>
      <c r="AD16" s="2" t="s">
        <v>64</v>
      </c>
      <c r="AE16" s="6">
        <f t="shared" si="7"/>
        <v>0.4</v>
      </c>
      <c r="AF16" s="6">
        <f t="shared" si="8"/>
        <v>0.34</v>
      </c>
      <c r="AG16" s="6">
        <f t="shared" si="9"/>
        <v>0.38800000000000007</v>
      </c>
      <c r="AH16" s="6">
        <v>1</v>
      </c>
      <c r="AI16" s="6">
        <v>0.5</v>
      </c>
      <c r="AJ16" s="6">
        <v>0.9</v>
      </c>
      <c r="AK16" s="6">
        <v>0.5</v>
      </c>
      <c r="AL16" s="6">
        <v>0</v>
      </c>
      <c r="AM16" s="6">
        <v>0</v>
      </c>
      <c r="AN16" s="6">
        <v>0</v>
      </c>
      <c r="AO16" s="6">
        <v>0.05</v>
      </c>
      <c r="AP16" s="6">
        <v>0.5</v>
      </c>
      <c r="AQ16" s="6">
        <v>1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7" t="s">
        <v>8</v>
      </c>
      <c r="BA16" s="67" t="s">
        <v>332</v>
      </c>
      <c r="BB16" s="67" t="s">
        <v>333</v>
      </c>
      <c r="BC16" s="67" t="s">
        <v>334</v>
      </c>
      <c r="BD16" s="67" t="s">
        <v>332</v>
      </c>
      <c r="BE16" s="67" t="s">
        <v>332</v>
      </c>
      <c r="BF16" s="67" t="s">
        <v>332</v>
      </c>
      <c r="BG16" s="67" t="s">
        <v>334</v>
      </c>
      <c r="BH16" s="67" t="s">
        <v>334</v>
      </c>
      <c r="BI16" s="67" t="s">
        <v>7</v>
      </c>
      <c r="BJ16" s="67" t="s">
        <v>332</v>
      </c>
      <c r="BK16" s="67" t="s">
        <v>332</v>
      </c>
      <c r="BL16" s="67" t="s">
        <v>332</v>
      </c>
      <c r="BM16" s="67" t="s">
        <v>332</v>
      </c>
      <c r="BN16" s="67" t="s">
        <v>332</v>
      </c>
      <c r="BO16" s="67" t="s">
        <v>332</v>
      </c>
      <c r="BP16" s="67" t="s">
        <v>332</v>
      </c>
      <c r="BQ16" s="67" t="s">
        <v>332</v>
      </c>
    </row>
    <row r="17" spans="1:69" x14ac:dyDescent="0.25">
      <c r="A17" s="2">
        <v>20</v>
      </c>
      <c r="B17" s="2">
        <v>16</v>
      </c>
      <c r="C17" s="2" t="s">
        <v>234</v>
      </c>
      <c r="D17" s="2" t="s">
        <v>234</v>
      </c>
      <c r="E17" s="2" t="s">
        <v>65</v>
      </c>
      <c r="F17" s="2" t="s">
        <v>224</v>
      </c>
      <c r="G17" s="2" t="s">
        <v>368</v>
      </c>
      <c r="H17" s="2" t="s">
        <v>235</v>
      </c>
      <c r="I17" s="2" t="s">
        <v>232</v>
      </c>
      <c r="J17" s="2" t="s">
        <v>233</v>
      </c>
      <c r="K17" s="2" t="s">
        <v>42</v>
      </c>
      <c r="L17" s="3">
        <v>3</v>
      </c>
      <c r="M17" s="50">
        <v>46507</v>
      </c>
      <c r="N17" s="50">
        <v>47058</v>
      </c>
      <c r="O17" s="50">
        <v>46206</v>
      </c>
      <c r="P17" s="4">
        <v>107893266</v>
      </c>
      <c r="Q17" s="4" t="s">
        <v>359</v>
      </c>
      <c r="R17" s="2" t="s">
        <v>228</v>
      </c>
      <c r="S17" s="5">
        <v>0.3</v>
      </c>
      <c r="T17" s="3">
        <f t="shared" si="0"/>
        <v>21.599999999999998</v>
      </c>
      <c r="U17" s="3">
        <f t="shared" si="1"/>
        <v>64.8</v>
      </c>
      <c r="V17" s="5">
        <f t="shared" si="2"/>
        <v>0.30000000000000004</v>
      </c>
      <c r="W17" s="3">
        <f t="shared" si="3"/>
        <v>21.6</v>
      </c>
      <c r="X17" s="3">
        <f t="shared" si="4"/>
        <v>64.800000000000011</v>
      </c>
      <c r="Y17" s="4">
        <f t="shared" si="5"/>
        <v>1498517.5833333333</v>
      </c>
      <c r="Z17" s="4">
        <f t="shared" si="6"/>
        <v>4995058.611111111</v>
      </c>
      <c r="AA17" s="3">
        <v>72</v>
      </c>
      <c r="AB17" s="3">
        <v>21.6</v>
      </c>
      <c r="AC17" s="2" t="s">
        <v>188</v>
      </c>
      <c r="AD17" s="2" t="s">
        <v>66</v>
      </c>
      <c r="AE17" s="6">
        <f t="shared" si="7"/>
        <v>0.74000000000000021</v>
      </c>
      <c r="AF17" s="6">
        <f t="shared" si="8"/>
        <v>0.64000000000000012</v>
      </c>
      <c r="AG17" s="6">
        <f t="shared" si="9"/>
        <v>0.7200000000000002</v>
      </c>
      <c r="AH17" s="6">
        <v>1</v>
      </c>
      <c r="AI17" s="6">
        <v>0</v>
      </c>
      <c r="AJ17" s="6">
        <v>1</v>
      </c>
      <c r="AK17" s="6">
        <v>0.8</v>
      </c>
      <c r="AL17" s="6">
        <v>0.8</v>
      </c>
      <c r="AM17" s="6">
        <v>0</v>
      </c>
      <c r="AN17" s="6">
        <v>0</v>
      </c>
      <c r="AO17" s="6">
        <v>1</v>
      </c>
      <c r="AP17" s="6">
        <v>1</v>
      </c>
      <c r="AQ17" s="6">
        <v>0.3</v>
      </c>
      <c r="AR17" s="6">
        <v>0.5</v>
      </c>
      <c r="AS17" s="6">
        <v>0.5</v>
      </c>
      <c r="AT17" s="6">
        <v>1</v>
      </c>
      <c r="AU17" s="6">
        <v>1</v>
      </c>
      <c r="AV17" s="6">
        <v>1</v>
      </c>
      <c r="AW17" s="6">
        <v>1</v>
      </c>
      <c r="AX17" s="6">
        <v>0.5</v>
      </c>
      <c r="AY17" s="6">
        <v>0.5</v>
      </c>
      <c r="AZ17" s="67" t="s">
        <v>8</v>
      </c>
      <c r="BA17" s="67" t="s">
        <v>332</v>
      </c>
      <c r="BB17" s="67" t="s">
        <v>8</v>
      </c>
      <c r="BC17" s="67" t="s">
        <v>334</v>
      </c>
      <c r="BD17" s="67" t="s">
        <v>334</v>
      </c>
      <c r="BE17" s="67" t="s">
        <v>332</v>
      </c>
      <c r="BF17" s="67" t="s">
        <v>332</v>
      </c>
      <c r="BG17" s="67" t="s">
        <v>8</v>
      </c>
      <c r="BH17" s="67" t="s">
        <v>8</v>
      </c>
      <c r="BI17" s="67" t="s">
        <v>367</v>
      </c>
      <c r="BJ17" s="67" t="s">
        <v>334</v>
      </c>
      <c r="BK17" s="67" t="s">
        <v>334</v>
      </c>
      <c r="BL17" s="67" t="s">
        <v>8</v>
      </c>
      <c r="BM17" s="67" t="s">
        <v>8</v>
      </c>
      <c r="BN17" s="67" t="s">
        <v>8</v>
      </c>
      <c r="BO17" s="67" t="s">
        <v>8</v>
      </c>
      <c r="BP17" s="67" t="s">
        <v>334</v>
      </c>
      <c r="BQ17" s="67" t="s">
        <v>334</v>
      </c>
    </row>
    <row r="18" spans="1:69" x14ac:dyDescent="0.25">
      <c r="A18" s="2">
        <v>21</v>
      </c>
      <c r="B18" s="2">
        <v>17</v>
      </c>
      <c r="C18" s="2" t="s">
        <v>236</v>
      </c>
      <c r="D18" s="2" t="s">
        <v>236</v>
      </c>
      <c r="E18" s="2" t="s">
        <v>67</v>
      </c>
      <c r="F18" s="2" t="s">
        <v>224</v>
      </c>
      <c r="G18" s="2" t="s">
        <v>368</v>
      </c>
      <c r="H18" s="2" t="s">
        <v>237</v>
      </c>
      <c r="I18" s="2" t="s">
        <v>238</v>
      </c>
      <c r="J18" s="2" t="s">
        <v>239</v>
      </c>
      <c r="K18" s="2" t="s">
        <v>69</v>
      </c>
      <c r="L18" s="3">
        <v>3</v>
      </c>
      <c r="M18" s="50">
        <v>46507</v>
      </c>
      <c r="N18" s="50">
        <v>47058</v>
      </c>
      <c r="O18" s="50">
        <v>46206</v>
      </c>
      <c r="P18" s="4">
        <v>85999233</v>
      </c>
      <c r="Q18" s="4" t="s">
        <v>359</v>
      </c>
      <c r="R18" s="2" t="s">
        <v>228</v>
      </c>
      <c r="S18" s="5">
        <v>0.3</v>
      </c>
      <c r="T18" s="3">
        <f t="shared" si="0"/>
        <v>16.8</v>
      </c>
      <c r="U18" s="3">
        <f t="shared" si="1"/>
        <v>50.400000000000006</v>
      </c>
      <c r="V18" s="5">
        <f t="shared" si="2"/>
        <v>0.3</v>
      </c>
      <c r="W18" s="3">
        <f t="shared" si="3"/>
        <v>16.8</v>
      </c>
      <c r="X18" s="3">
        <f t="shared" si="4"/>
        <v>50.400000000000006</v>
      </c>
      <c r="Y18" s="4">
        <f t="shared" si="5"/>
        <v>1535700.5892857143</v>
      </c>
      <c r="Z18" s="4">
        <f t="shared" si="6"/>
        <v>5119001.9642857136</v>
      </c>
      <c r="AA18" s="3">
        <v>56</v>
      </c>
      <c r="AB18" s="3">
        <v>16.8</v>
      </c>
      <c r="AC18" s="2" t="s">
        <v>188</v>
      </c>
      <c r="AD18" s="2" t="s">
        <v>68</v>
      </c>
      <c r="AE18" s="6">
        <f t="shared" si="7"/>
        <v>0.7200000000000002</v>
      </c>
      <c r="AF18" s="6">
        <f t="shared" si="8"/>
        <v>0.67000000000000015</v>
      </c>
      <c r="AG18" s="6">
        <f t="shared" si="9"/>
        <v>0.71000000000000019</v>
      </c>
      <c r="AH18" s="6">
        <v>1</v>
      </c>
      <c r="AI18" s="6">
        <v>0.5</v>
      </c>
      <c r="AJ18" s="6">
        <v>1</v>
      </c>
      <c r="AK18" s="6">
        <v>0.7</v>
      </c>
      <c r="AL18" s="6">
        <v>0.7</v>
      </c>
      <c r="AM18" s="6">
        <v>0</v>
      </c>
      <c r="AN18" s="6">
        <v>0</v>
      </c>
      <c r="AO18" s="6">
        <v>1</v>
      </c>
      <c r="AP18" s="6">
        <v>1</v>
      </c>
      <c r="AQ18" s="6">
        <v>0.3</v>
      </c>
      <c r="AR18" s="6">
        <v>0.5</v>
      </c>
      <c r="AS18" s="6">
        <v>0.5</v>
      </c>
      <c r="AT18" s="6">
        <v>1</v>
      </c>
      <c r="AU18" s="6">
        <v>1</v>
      </c>
      <c r="AV18" s="6">
        <v>1</v>
      </c>
      <c r="AW18" s="6">
        <v>1</v>
      </c>
      <c r="AX18" s="6">
        <v>0.5</v>
      </c>
      <c r="AY18" s="6">
        <v>0.5</v>
      </c>
      <c r="AZ18" s="67" t="s">
        <v>8</v>
      </c>
      <c r="BA18" s="67" t="s">
        <v>332</v>
      </c>
      <c r="BB18" s="67" t="s">
        <v>8</v>
      </c>
      <c r="BC18" s="67" t="s">
        <v>333</v>
      </c>
      <c r="BD18" s="67" t="s">
        <v>333</v>
      </c>
      <c r="BE18" s="67" t="s">
        <v>332</v>
      </c>
      <c r="BF18" s="67" t="s">
        <v>332</v>
      </c>
      <c r="BG18" s="67" t="s">
        <v>8</v>
      </c>
      <c r="BH18" s="67" t="s">
        <v>8</v>
      </c>
      <c r="BI18" s="67" t="s">
        <v>367</v>
      </c>
      <c r="BJ18" s="67" t="s">
        <v>334</v>
      </c>
      <c r="BK18" s="67" t="s">
        <v>334</v>
      </c>
      <c r="BL18" s="67" t="s">
        <v>8</v>
      </c>
      <c r="BM18" s="67" t="s">
        <v>8</v>
      </c>
      <c r="BN18" s="67" t="s">
        <v>8</v>
      </c>
      <c r="BO18" s="67" t="s">
        <v>8</v>
      </c>
      <c r="BP18" s="67" t="s">
        <v>8</v>
      </c>
      <c r="BQ18" s="67" t="s">
        <v>334</v>
      </c>
    </row>
    <row r="19" spans="1:69" x14ac:dyDescent="0.25">
      <c r="A19" s="2">
        <v>17</v>
      </c>
      <c r="B19" s="2">
        <v>18</v>
      </c>
      <c r="C19" s="2" t="s">
        <v>215</v>
      </c>
      <c r="D19" s="2" t="s">
        <v>215</v>
      </c>
      <c r="E19" s="2" t="s">
        <v>9</v>
      </c>
      <c r="F19" s="2" t="s">
        <v>216</v>
      </c>
      <c r="G19" s="2" t="s">
        <v>368</v>
      </c>
      <c r="H19" s="2" t="s">
        <v>217</v>
      </c>
      <c r="I19" s="2" t="s">
        <v>218</v>
      </c>
      <c r="J19" s="2" t="s">
        <v>219</v>
      </c>
      <c r="K19" s="2" t="s">
        <v>10</v>
      </c>
      <c r="L19" s="3">
        <v>3</v>
      </c>
      <c r="M19" s="50">
        <v>46447</v>
      </c>
      <c r="N19" s="50">
        <v>46843</v>
      </c>
      <c r="O19" s="50">
        <v>46212</v>
      </c>
      <c r="P19" s="4">
        <v>90724532.900000006</v>
      </c>
      <c r="Q19" s="4" t="s">
        <v>358</v>
      </c>
      <c r="R19" s="2" t="s">
        <v>220</v>
      </c>
      <c r="S19" s="5">
        <v>0.3</v>
      </c>
      <c r="T19" s="3">
        <f t="shared" si="0"/>
        <v>29.46</v>
      </c>
      <c r="U19" s="3">
        <f t="shared" si="1"/>
        <v>88.38</v>
      </c>
      <c r="V19" s="5">
        <f t="shared" si="2"/>
        <v>0.3</v>
      </c>
      <c r="W19" s="3">
        <f t="shared" si="3"/>
        <v>29.46</v>
      </c>
      <c r="X19" s="3">
        <f t="shared" si="4"/>
        <v>88.38</v>
      </c>
      <c r="Y19" s="4">
        <f t="shared" si="5"/>
        <v>923875.08044806519</v>
      </c>
      <c r="Z19" s="4">
        <f t="shared" si="6"/>
        <v>3079583.6014935505</v>
      </c>
      <c r="AA19" s="3">
        <v>98.2</v>
      </c>
      <c r="AB19" s="3">
        <v>29.46</v>
      </c>
      <c r="AC19" s="2" t="s">
        <v>221</v>
      </c>
      <c r="AD19" s="2" t="s">
        <v>222</v>
      </c>
      <c r="AE19" s="6">
        <f t="shared" si="7"/>
        <v>0.91500000000000015</v>
      </c>
      <c r="AF19" s="6">
        <f t="shared" si="8"/>
        <v>0.86000000000000021</v>
      </c>
      <c r="AG19" s="6">
        <f t="shared" si="9"/>
        <v>0.90400000000000025</v>
      </c>
      <c r="AH19" s="6">
        <v>0.95</v>
      </c>
      <c r="AI19" s="6">
        <v>0.5</v>
      </c>
      <c r="AJ19" s="6">
        <v>0.9</v>
      </c>
      <c r="AK19" s="6">
        <v>0.9</v>
      </c>
      <c r="AL19" s="6">
        <v>0.9</v>
      </c>
      <c r="AM19" s="6">
        <v>1</v>
      </c>
      <c r="AN19" s="6">
        <v>1</v>
      </c>
      <c r="AO19" s="6">
        <v>0.9</v>
      </c>
      <c r="AP19" s="6">
        <v>0.9</v>
      </c>
      <c r="AQ19" s="6">
        <v>1</v>
      </c>
      <c r="AR19" s="6">
        <v>1</v>
      </c>
      <c r="AS19" s="6">
        <v>0.8</v>
      </c>
      <c r="AT19" s="6">
        <v>1</v>
      </c>
      <c r="AU19" s="6">
        <v>1</v>
      </c>
      <c r="AV19" s="6">
        <v>0.8</v>
      </c>
      <c r="AW19" s="6">
        <v>0.8</v>
      </c>
      <c r="AX19" s="6">
        <v>0.6</v>
      </c>
      <c r="AY19" s="6">
        <v>0.6</v>
      </c>
      <c r="AZ19" s="54" t="s">
        <v>333</v>
      </c>
      <c r="BA19" s="67" t="s">
        <v>332</v>
      </c>
      <c r="BB19" s="55" t="s">
        <v>8</v>
      </c>
      <c r="BC19" s="55" t="s">
        <v>334</v>
      </c>
      <c r="BD19" s="55" t="s">
        <v>334</v>
      </c>
      <c r="BE19" s="55" t="s">
        <v>7</v>
      </c>
      <c r="BF19" s="55" t="s">
        <v>7</v>
      </c>
      <c r="BG19" s="55" t="s">
        <v>334</v>
      </c>
      <c r="BH19" s="55" t="s">
        <v>334</v>
      </c>
      <c r="BI19" s="55" t="s">
        <v>7</v>
      </c>
      <c r="BJ19" s="55" t="s">
        <v>8</v>
      </c>
      <c r="BK19" s="67" t="s">
        <v>334</v>
      </c>
      <c r="BL19" s="55" t="s">
        <v>8</v>
      </c>
      <c r="BM19" s="55" t="s">
        <v>8</v>
      </c>
      <c r="BN19" s="55" t="s">
        <v>334</v>
      </c>
      <c r="BO19" s="55" t="s">
        <v>334</v>
      </c>
      <c r="BP19" s="55" t="s">
        <v>334</v>
      </c>
      <c r="BQ19" s="55" t="s">
        <v>334</v>
      </c>
    </row>
    <row r="20" spans="1:69" x14ac:dyDescent="0.25">
      <c r="A20" s="2">
        <v>15</v>
      </c>
      <c r="B20" s="2">
        <v>19</v>
      </c>
      <c r="C20" s="2" t="s">
        <v>208</v>
      </c>
      <c r="D20" s="2" t="s">
        <v>208</v>
      </c>
      <c r="E20" s="2" t="s">
        <v>70</v>
      </c>
      <c r="F20" s="2" t="s">
        <v>203</v>
      </c>
      <c r="G20" s="2" t="s">
        <v>368</v>
      </c>
      <c r="H20" s="2" t="s">
        <v>209</v>
      </c>
      <c r="I20" s="2" t="s">
        <v>210</v>
      </c>
      <c r="J20" s="2" t="s">
        <v>211</v>
      </c>
      <c r="K20" s="2" t="s">
        <v>72</v>
      </c>
      <c r="L20" s="3">
        <v>3</v>
      </c>
      <c r="M20" s="50">
        <v>46452</v>
      </c>
      <c r="N20" s="50">
        <v>47238</v>
      </c>
      <c r="O20" s="50">
        <v>46211</v>
      </c>
      <c r="P20" s="4">
        <v>178208437.90000001</v>
      </c>
      <c r="Q20" s="4" t="s">
        <v>359</v>
      </c>
      <c r="R20" s="2" t="s">
        <v>207</v>
      </c>
      <c r="S20" s="5">
        <v>0.3</v>
      </c>
      <c r="T20" s="3">
        <f t="shared" si="0"/>
        <v>36</v>
      </c>
      <c r="U20" s="3">
        <f t="shared" si="1"/>
        <v>108</v>
      </c>
      <c r="V20" s="5">
        <f t="shared" si="2"/>
        <v>0.3</v>
      </c>
      <c r="W20" s="3">
        <f t="shared" si="3"/>
        <v>36</v>
      </c>
      <c r="X20" s="3">
        <f t="shared" si="4"/>
        <v>108</v>
      </c>
      <c r="Y20" s="4">
        <f t="shared" si="5"/>
        <v>1485070.3158333334</v>
      </c>
      <c r="Z20" s="4">
        <f t="shared" si="6"/>
        <v>4950234.3861111114</v>
      </c>
      <c r="AA20" s="3">
        <v>120</v>
      </c>
      <c r="AB20" s="3">
        <v>36</v>
      </c>
      <c r="AC20" s="2" t="s">
        <v>145</v>
      </c>
      <c r="AD20" s="2" t="s">
        <v>71</v>
      </c>
      <c r="AE20" s="6">
        <f t="shared" si="7"/>
        <v>0.30500000000000005</v>
      </c>
      <c r="AF20" s="6">
        <f t="shared" si="8"/>
        <v>0.255</v>
      </c>
      <c r="AG20" s="6">
        <f t="shared" si="9"/>
        <v>0.29500000000000004</v>
      </c>
      <c r="AH20" s="6">
        <v>1</v>
      </c>
      <c r="AI20" s="6">
        <v>0.5</v>
      </c>
      <c r="AJ20" s="6">
        <v>0.8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1</v>
      </c>
      <c r="AR20" s="6">
        <v>0.5</v>
      </c>
      <c r="AS20" s="6">
        <v>0.5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7" t="s">
        <v>8</v>
      </c>
      <c r="BA20" s="67" t="s">
        <v>332</v>
      </c>
      <c r="BB20" s="67" t="s">
        <v>333</v>
      </c>
      <c r="BC20" s="67" t="s">
        <v>332</v>
      </c>
      <c r="BD20" s="67" t="s">
        <v>332</v>
      </c>
      <c r="BE20" s="67" t="s">
        <v>332</v>
      </c>
      <c r="BF20" s="67" t="s">
        <v>332</v>
      </c>
      <c r="BG20" s="67" t="s">
        <v>332</v>
      </c>
      <c r="BH20" s="67" t="s">
        <v>332</v>
      </c>
      <c r="BI20" s="67" t="s">
        <v>7</v>
      </c>
      <c r="BJ20" s="67" t="s">
        <v>334</v>
      </c>
      <c r="BK20" s="67" t="s">
        <v>334</v>
      </c>
      <c r="BL20" s="67" t="s">
        <v>332</v>
      </c>
      <c r="BM20" s="67" t="s">
        <v>332</v>
      </c>
      <c r="BN20" s="67" t="s">
        <v>332</v>
      </c>
      <c r="BO20" s="67" t="s">
        <v>332</v>
      </c>
      <c r="BP20" s="67" t="s">
        <v>332</v>
      </c>
      <c r="BQ20" s="67" t="s">
        <v>332</v>
      </c>
    </row>
    <row r="21" spans="1:69" x14ac:dyDescent="0.25">
      <c r="A21" s="2">
        <v>16</v>
      </c>
      <c r="B21" s="2">
        <v>20</v>
      </c>
      <c r="C21" s="2" t="s">
        <v>212</v>
      </c>
      <c r="D21" s="2" t="s">
        <v>212</v>
      </c>
      <c r="E21" s="2" t="s">
        <v>73</v>
      </c>
      <c r="F21" s="2" t="s">
        <v>203</v>
      </c>
      <c r="G21" s="2" t="s">
        <v>368</v>
      </c>
      <c r="H21" s="2" t="s">
        <v>141</v>
      </c>
      <c r="I21" s="2" t="s">
        <v>213</v>
      </c>
      <c r="J21" s="2" t="s">
        <v>214</v>
      </c>
      <c r="K21" s="2" t="s">
        <v>74</v>
      </c>
      <c r="L21" s="3">
        <v>3</v>
      </c>
      <c r="M21" s="50">
        <v>46461</v>
      </c>
      <c r="N21" s="50">
        <v>47057</v>
      </c>
      <c r="O21" s="50">
        <v>46211</v>
      </c>
      <c r="P21" s="4">
        <v>98459271.299999997</v>
      </c>
      <c r="Q21" s="4" t="s">
        <v>359</v>
      </c>
      <c r="R21" s="2" t="s">
        <v>207</v>
      </c>
      <c r="S21" s="5">
        <v>0.3</v>
      </c>
      <c r="T21" s="3">
        <f t="shared" si="0"/>
        <v>19.8</v>
      </c>
      <c r="U21" s="3">
        <f t="shared" si="1"/>
        <v>59.400000000000006</v>
      </c>
      <c r="V21" s="5">
        <f t="shared" si="2"/>
        <v>0.3</v>
      </c>
      <c r="W21" s="3">
        <f t="shared" si="3"/>
        <v>19.8</v>
      </c>
      <c r="X21" s="3">
        <f t="shared" si="4"/>
        <v>59.400000000000006</v>
      </c>
      <c r="Y21" s="4">
        <f t="shared" si="5"/>
        <v>1491807.1409090909</v>
      </c>
      <c r="Z21" s="4">
        <f t="shared" si="6"/>
        <v>4972690.4696969697</v>
      </c>
      <c r="AA21" s="3">
        <v>66</v>
      </c>
      <c r="AB21" s="3">
        <v>19.8</v>
      </c>
      <c r="AC21" s="2" t="s">
        <v>145</v>
      </c>
      <c r="AD21" s="2" t="s">
        <v>15</v>
      </c>
      <c r="AE21" s="6">
        <f t="shared" si="7"/>
        <v>0.29500000000000004</v>
      </c>
      <c r="AF21" s="6">
        <f t="shared" si="8"/>
        <v>0.28000000000000003</v>
      </c>
      <c r="AG21" s="6">
        <f t="shared" si="9"/>
        <v>0.29200000000000004</v>
      </c>
      <c r="AH21" s="6">
        <v>0.95</v>
      </c>
      <c r="AI21" s="6">
        <v>0.8</v>
      </c>
      <c r="AJ21" s="6">
        <v>1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1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7" t="s">
        <v>332</v>
      </c>
      <c r="BA21" s="67" t="s">
        <v>332</v>
      </c>
      <c r="BB21" s="67" t="s">
        <v>8</v>
      </c>
      <c r="BC21" s="67" t="s">
        <v>332</v>
      </c>
      <c r="BD21" s="67" t="s">
        <v>332</v>
      </c>
      <c r="BE21" s="67" t="s">
        <v>332</v>
      </c>
      <c r="BF21" s="67" t="s">
        <v>332</v>
      </c>
      <c r="BG21" s="67" t="s">
        <v>332</v>
      </c>
      <c r="BH21" s="67" t="s">
        <v>332</v>
      </c>
      <c r="BI21" s="67" t="s">
        <v>7</v>
      </c>
      <c r="BJ21" s="67" t="s">
        <v>332</v>
      </c>
      <c r="BK21" s="67" t="s">
        <v>332</v>
      </c>
      <c r="BL21" s="67" t="s">
        <v>332</v>
      </c>
      <c r="BM21" s="67" t="s">
        <v>332</v>
      </c>
      <c r="BN21" s="67" t="s">
        <v>332</v>
      </c>
      <c r="BO21" s="67" t="s">
        <v>332</v>
      </c>
      <c r="BP21" s="67" t="s">
        <v>332</v>
      </c>
      <c r="BQ21" s="67" t="s">
        <v>332</v>
      </c>
    </row>
    <row r="22" spans="1:69" x14ac:dyDescent="0.25">
      <c r="A22" s="2">
        <v>14</v>
      </c>
      <c r="B22" s="2">
        <v>21</v>
      </c>
      <c r="C22" s="2" t="s">
        <v>202</v>
      </c>
      <c r="D22" s="2" t="s">
        <v>202</v>
      </c>
      <c r="E22" s="2" t="s">
        <v>75</v>
      </c>
      <c r="F22" s="2" t="s">
        <v>203</v>
      </c>
      <c r="G22" s="2" t="s">
        <v>368</v>
      </c>
      <c r="H22" s="2" t="s">
        <v>204</v>
      </c>
      <c r="I22" s="2" t="s">
        <v>205</v>
      </c>
      <c r="J22" s="2" t="s">
        <v>206</v>
      </c>
      <c r="K22" s="2" t="s">
        <v>76</v>
      </c>
      <c r="L22" s="3">
        <v>3</v>
      </c>
      <c r="M22" s="50">
        <v>46461</v>
      </c>
      <c r="N22" s="50">
        <v>47238</v>
      </c>
      <c r="O22" s="50">
        <v>46211</v>
      </c>
      <c r="P22" s="4">
        <v>211345624.30000001</v>
      </c>
      <c r="Q22" s="4" t="s">
        <v>359</v>
      </c>
      <c r="R22" s="2" t="s">
        <v>207</v>
      </c>
      <c r="S22" s="5">
        <v>0.3</v>
      </c>
      <c r="T22" s="3">
        <f t="shared" si="0"/>
        <v>51</v>
      </c>
      <c r="U22" s="3">
        <f t="shared" si="1"/>
        <v>153</v>
      </c>
      <c r="V22" s="5">
        <f t="shared" si="2"/>
        <v>0.3</v>
      </c>
      <c r="W22" s="3">
        <f t="shared" si="3"/>
        <v>51</v>
      </c>
      <c r="X22" s="3">
        <f t="shared" si="4"/>
        <v>153</v>
      </c>
      <c r="Y22" s="4">
        <f t="shared" si="5"/>
        <v>1243209.5547058824</v>
      </c>
      <c r="Z22" s="4">
        <f t="shared" si="6"/>
        <v>4144031.849019608</v>
      </c>
      <c r="AA22" s="3">
        <v>170</v>
      </c>
      <c r="AB22" s="3">
        <v>51</v>
      </c>
      <c r="AC22" s="2" t="s">
        <v>152</v>
      </c>
      <c r="AD22" s="2" t="s">
        <v>75</v>
      </c>
      <c r="AE22" s="6">
        <f t="shared" si="7"/>
        <v>0.30000000000000004</v>
      </c>
      <c r="AF22" s="6">
        <f t="shared" si="8"/>
        <v>0.16000000000000003</v>
      </c>
      <c r="AG22" s="6">
        <f t="shared" si="9"/>
        <v>0.27200000000000008</v>
      </c>
      <c r="AH22" s="6">
        <v>1</v>
      </c>
      <c r="AI22" s="6">
        <v>0.8</v>
      </c>
      <c r="AJ22" s="6">
        <v>0.8</v>
      </c>
      <c r="AK22" s="6">
        <v>0.6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7" t="s">
        <v>8</v>
      </c>
      <c r="BA22" s="67" t="s">
        <v>332</v>
      </c>
      <c r="BB22" s="67" t="s">
        <v>332</v>
      </c>
      <c r="BC22" s="67" t="s">
        <v>332</v>
      </c>
      <c r="BD22" s="67" t="s">
        <v>332</v>
      </c>
      <c r="BE22" s="67" t="s">
        <v>332</v>
      </c>
      <c r="BF22" s="67" t="s">
        <v>332</v>
      </c>
      <c r="BG22" s="67" t="s">
        <v>332</v>
      </c>
      <c r="BH22" s="67" t="s">
        <v>332</v>
      </c>
      <c r="BI22" s="67" t="s">
        <v>332</v>
      </c>
      <c r="BJ22" s="67" t="s">
        <v>332</v>
      </c>
      <c r="BK22" s="67" t="s">
        <v>332</v>
      </c>
      <c r="BL22" s="67" t="s">
        <v>332</v>
      </c>
      <c r="BM22" s="67" t="s">
        <v>332</v>
      </c>
      <c r="BN22" s="67" t="s">
        <v>332</v>
      </c>
      <c r="BO22" s="67" t="s">
        <v>332</v>
      </c>
      <c r="BP22" s="67" t="s">
        <v>332</v>
      </c>
      <c r="BQ22" s="67" t="s">
        <v>332</v>
      </c>
    </row>
    <row r="23" spans="1:69" x14ac:dyDescent="0.25">
      <c r="A23" s="2">
        <v>11</v>
      </c>
      <c r="B23" s="2">
        <v>22</v>
      </c>
      <c r="C23" s="37" t="s">
        <v>183</v>
      </c>
      <c r="D23" s="2" t="s">
        <v>183</v>
      </c>
      <c r="E23" s="2" t="s">
        <v>77</v>
      </c>
      <c r="F23" s="2" t="s">
        <v>120</v>
      </c>
      <c r="G23" s="2" t="s">
        <v>368</v>
      </c>
      <c r="H23" s="2" t="s">
        <v>184</v>
      </c>
      <c r="I23" s="2" t="s">
        <v>185</v>
      </c>
      <c r="J23" s="2" t="s">
        <v>186</v>
      </c>
      <c r="K23" s="2" t="s">
        <v>78</v>
      </c>
      <c r="L23" s="3">
        <v>3.66</v>
      </c>
      <c r="M23" s="50">
        <v>46356</v>
      </c>
      <c r="N23" s="50">
        <v>47208</v>
      </c>
      <c r="O23" s="50">
        <v>46206</v>
      </c>
      <c r="P23" s="4">
        <v>158930216.19999999</v>
      </c>
      <c r="Q23" s="4" t="s">
        <v>358</v>
      </c>
      <c r="R23" s="2" t="s">
        <v>187</v>
      </c>
      <c r="S23" s="5">
        <v>0.3</v>
      </c>
      <c r="T23" s="3">
        <f t="shared" si="0"/>
        <v>36.96</v>
      </c>
      <c r="U23" s="3">
        <f t="shared" si="1"/>
        <v>110.88</v>
      </c>
      <c r="V23" s="5">
        <f t="shared" si="2"/>
        <v>0.3</v>
      </c>
      <c r="W23" s="3">
        <f t="shared" si="3"/>
        <v>36.96</v>
      </c>
      <c r="X23" s="3">
        <f t="shared" si="4"/>
        <v>110.88</v>
      </c>
      <c r="Y23" s="4">
        <f t="shared" si="5"/>
        <v>1290017.9886363635</v>
      </c>
      <c r="Z23" s="4">
        <f t="shared" si="6"/>
        <v>4300059.9621212119</v>
      </c>
      <c r="AA23" s="3">
        <v>123.2</v>
      </c>
      <c r="AB23" s="3">
        <v>36.96</v>
      </c>
      <c r="AC23" s="2" t="s">
        <v>188</v>
      </c>
      <c r="AD23" s="2" t="s">
        <v>189</v>
      </c>
      <c r="AE23" s="6">
        <f t="shared" si="7"/>
        <v>0.84000000000000019</v>
      </c>
      <c r="AF23" s="6">
        <f t="shared" si="8"/>
        <v>0.73500000000000021</v>
      </c>
      <c r="AG23" s="6">
        <f t="shared" si="9"/>
        <v>0.81900000000000017</v>
      </c>
      <c r="AH23" s="6">
        <v>1</v>
      </c>
      <c r="AI23" s="6">
        <v>0.75</v>
      </c>
      <c r="AJ23" s="6">
        <v>1</v>
      </c>
      <c r="AK23" s="6">
        <v>0.9</v>
      </c>
      <c r="AL23" s="6">
        <v>0.5</v>
      </c>
      <c r="AM23" s="6">
        <v>0.5</v>
      </c>
      <c r="AN23" s="6">
        <v>0.5</v>
      </c>
      <c r="AO23" s="6">
        <v>1</v>
      </c>
      <c r="AP23" s="6">
        <v>1</v>
      </c>
      <c r="AQ23" s="6">
        <v>0.3</v>
      </c>
      <c r="AR23" s="6">
        <v>0.6</v>
      </c>
      <c r="AS23" s="6">
        <v>0.6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54" t="s">
        <v>8</v>
      </c>
      <c r="BA23" s="67" t="s">
        <v>332</v>
      </c>
      <c r="BB23" s="55" t="s">
        <v>8</v>
      </c>
      <c r="BC23" s="55" t="s">
        <v>334</v>
      </c>
      <c r="BD23" s="55" t="s">
        <v>334</v>
      </c>
      <c r="BE23" s="67" t="s">
        <v>334</v>
      </c>
      <c r="BF23" s="67" t="s">
        <v>332</v>
      </c>
      <c r="BG23" s="55" t="s">
        <v>8</v>
      </c>
      <c r="BH23" s="55" t="s">
        <v>8</v>
      </c>
      <c r="BI23" s="55" t="s">
        <v>367</v>
      </c>
      <c r="BJ23" s="55" t="s">
        <v>334</v>
      </c>
      <c r="BK23" s="55" t="s">
        <v>334</v>
      </c>
      <c r="BL23" s="55" t="s">
        <v>8</v>
      </c>
      <c r="BM23" s="55" t="s">
        <v>8</v>
      </c>
      <c r="BN23" s="55" t="s">
        <v>8</v>
      </c>
      <c r="BO23" s="55" t="s">
        <v>8</v>
      </c>
      <c r="BP23" s="55" t="s">
        <v>8</v>
      </c>
      <c r="BQ23" s="55" t="s">
        <v>8</v>
      </c>
    </row>
    <row r="24" spans="1:69" x14ac:dyDescent="0.25">
      <c r="A24" s="2">
        <v>12</v>
      </c>
      <c r="B24" s="2">
        <v>23</v>
      </c>
      <c r="C24" s="2" t="s">
        <v>190</v>
      </c>
      <c r="D24" s="2" t="s">
        <v>190</v>
      </c>
      <c r="E24" s="2" t="s">
        <v>43</v>
      </c>
      <c r="F24" s="2" t="s">
        <v>120</v>
      </c>
      <c r="G24" s="2" t="s">
        <v>368</v>
      </c>
      <c r="H24" s="2" t="s">
        <v>191</v>
      </c>
      <c r="I24" s="2" t="s">
        <v>192</v>
      </c>
      <c r="J24" s="2" t="s">
        <v>193</v>
      </c>
      <c r="K24" s="2" t="s">
        <v>366</v>
      </c>
      <c r="L24" s="3">
        <v>3.6</v>
      </c>
      <c r="M24" s="50">
        <v>46356</v>
      </c>
      <c r="N24" s="50">
        <v>47360</v>
      </c>
      <c r="O24" s="50">
        <v>46206</v>
      </c>
      <c r="P24" s="4">
        <v>420828931.19999999</v>
      </c>
      <c r="Q24" s="4" t="s">
        <v>359</v>
      </c>
      <c r="R24" s="2" t="s">
        <v>194</v>
      </c>
      <c r="S24" s="5">
        <v>0.3</v>
      </c>
      <c r="T24" s="3">
        <f t="shared" si="0"/>
        <v>136.70400000000001</v>
      </c>
      <c r="U24" s="3">
        <f t="shared" si="1"/>
        <v>410.11200000000002</v>
      </c>
      <c r="V24" s="5">
        <f t="shared" si="2"/>
        <v>0.29999122191011235</v>
      </c>
      <c r="W24" s="3">
        <f t="shared" si="3"/>
        <v>136.69999999999999</v>
      </c>
      <c r="X24" s="3">
        <f t="shared" si="4"/>
        <v>410.09999999999997</v>
      </c>
      <c r="Y24" s="4">
        <f t="shared" si="5"/>
        <v>923518.54634831462</v>
      </c>
      <c r="Z24" s="4">
        <f t="shared" si="6"/>
        <v>3078485.2318946598</v>
      </c>
      <c r="AA24" s="3">
        <v>455.68</v>
      </c>
      <c r="AB24" s="3">
        <v>136.69999999999999</v>
      </c>
      <c r="AC24" s="2" t="s">
        <v>195</v>
      </c>
      <c r="AD24" s="2" t="s">
        <v>44</v>
      </c>
      <c r="AE24" s="6">
        <f t="shared" si="7"/>
        <v>0.75000000000000022</v>
      </c>
      <c r="AF24" s="6">
        <f t="shared" si="8"/>
        <v>0.58500000000000019</v>
      </c>
      <c r="AG24" s="6">
        <f t="shared" si="9"/>
        <v>0.7170000000000003</v>
      </c>
      <c r="AH24" s="6">
        <v>1</v>
      </c>
      <c r="AI24" s="6">
        <v>0.75</v>
      </c>
      <c r="AJ24" s="6">
        <v>0.9</v>
      </c>
      <c r="AK24" s="6">
        <v>0.8</v>
      </c>
      <c r="AL24" s="6">
        <v>0.8</v>
      </c>
      <c r="AM24" s="6">
        <v>1</v>
      </c>
      <c r="AN24" s="6">
        <v>0</v>
      </c>
      <c r="AO24" s="6">
        <v>0.8</v>
      </c>
      <c r="AP24" s="6">
        <v>0.8</v>
      </c>
      <c r="AQ24" s="6">
        <v>0</v>
      </c>
      <c r="AR24" s="6">
        <v>0.8</v>
      </c>
      <c r="AS24" s="6">
        <v>0</v>
      </c>
      <c r="AT24" s="6">
        <v>1</v>
      </c>
      <c r="AU24" s="6">
        <v>1</v>
      </c>
      <c r="AV24" s="6">
        <v>0.5</v>
      </c>
      <c r="AW24" s="6">
        <v>0.5</v>
      </c>
      <c r="AX24" s="6">
        <v>0.5</v>
      </c>
      <c r="AY24" s="6">
        <v>0.5</v>
      </c>
      <c r="AZ24" s="67" t="s">
        <v>8</v>
      </c>
      <c r="BA24" s="67" t="s">
        <v>332</v>
      </c>
      <c r="BB24" s="67" t="s">
        <v>334</v>
      </c>
      <c r="BC24" s="67" t="s">
        <v>334</v>
      </c>
      <c r="BD24" s="67" t="s">
        <v>334</v>
      </c>
      <c r="BE24" s="67" t="s">
        <v>7</v>
      </c>
      <c r="BF24" s="67" t="s">
        <v>332</v>
      </c>
      <c r="BG24" s="67" t="s">
        <v>333</v>
      </c>
      <c r="BH24" s="67" t="s">
        <v>333</v>
      </c>
      <c r="BI24" s="67" t="s">
        <v>332</v>
      </c>
      <c r="BJ24" s="67" t="s">
        <v>334</v>
      </c>
      <c r="BK24" s="67" t="s">
        <v>332</v>
      </c>
      <c r="BL24" s="67" t="s">
        <v>8</v>
      </c>
      <c r="BM24" s="67" t="s">
        <v>8</v>
      </c>
      <c r="BN24" s="67" t="s">
        <v>334</v>
      </c>
      <c r="BO24" s="67" t="s">
        <v>334</v>
      </c>
      <c r="BP24" s="67" t="s">
        <v>332</v>
      </c>
      <c r="BQ24" s="67" t="s">
        <v>332</v>
      </c>
    </row>
    <row r="25" spans="1:69" x14ac:dyDescent="0.25">
      <c r="A25" s="2">
        <v>1</v>
      </c>
      <c r="B25" s="2">
        <v>24</v>
      </c>
      <c r="C25" s="2" t="s">
        <v>119</v>
      </c>
      <c r="D25" s="2" t="s">
        <v>119</v>
      </c>
      <c r="E25" s="2" t="s">
        <v>5</v>
      </c>
      <c r="F25" s="2" t="s">
        <v>120</v>
      </c>
      <c r="G25" s="2" t="s">
        <v>368</v>
      </c>
      <c r="H25" s="2" t="s">
        <v>121</v>
      </c>
      <c r="I25" s="2" t="s">
        <v>122</v>
      </c>
      <c r="J25" s="2" t="s">
        <v>123</v>
      </c>
      <c r="K25" s="2" t="s">
        <v>6</v>
      </c>
      <c r="L25" s="3">
        <v>3.55</v>
      </c>
      <c r="M25" s="50">
        <v>46341</v>
      </c>
      <c r="N25" s="50">
        <v>47118</v>
      </c>
      <c r="O25" s="50">
        <v>46206</v>
      </c>
      <c r="P25" s="4">
        <v>93931093.400000006</v>
      </c>
      <c r="Q25" s="4" t="s">
        <v>358</v>
      </c>
      <c r="R25" s="2" t="s">
        <v>124</v>
      </c>
      <c r="S25" s="5">
        <v>0.3</v>
      </c>
      <c r="T25" s="3">
        <f t="shared" si="0"/>
        <v>24</v>
      </c>
      <c r="U25" s="3">
        <f t="shared" si="1"/>
        <v>72</v>
      </c>
      <c r="V25" s="5">
        <f t="shared" si="2"/>
        <v>0.3</v>
      </c>
      <c r="W25" s="3">
        <f t="shared" si="3"/>
        <v>24</v>
      </c>
      <c r="X25" s="3">
        <f t="shared" si="4"/>
        <v>72</v>
      </c>
      <c r="Y25" s="4">
        <f t="shared" si="5"/>
        <v>1174138.6675</v>
      </c>
      <c r="Z25" s="4">
        <f t="shared" si="6"/>
        <v>3913795.5583333336</v>
      </c>
      <c r="AA25" s="3">
        <v>80</v>
      </c>
      <c r="AB25" s="3">
        <v>24</v>
      </c>
      <c r="AC25" s="2" t="s">
        <v>125</v>
      </c>
      <c r="AD25" s="2" t="s">
        <v>126</v>
      </c>
      <c r="AE25" s="6">
        <f t="shared" si="7"/>
        <v>0.94000000000000006</v>
      </c>
      <c r="AF25" s="6">
        <f t="shared" si="8"/>
        <v>0.93</v>
      </c>
      <c r="AG25" s="6">
        <f t="shared" si="9"/>
        <v>0.93800000000000017</v>
      </c>
      <c r="AH25" s="6">
        <v>1</v>
      </c>
      <c r="AI25" s="6">
        <v>0.9</v>
      </c>
      <c r="AJ25" s="6">
        <v>0.9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1</v>
      </c>
      <c r="AT25" s="6">
        <v>0.5</v>
      </c>
      <c r="AU25" s="6">
        <v>0.5</v>
      </c>
      <c r="AV25" s="6">
        <v>1</v>
      </c>
      <c r="AW25" s="6">
        <v>1</v>
      </c>
      <c r="AX25" s="6">
        <v>0.5</v>
      </c>
      <c r="AY25" s="6">
        <v>0.5</v>
      </c>
      <c r="AZ25" s="54" t="s">
        <v>8</v>
      </c>
      <c r="BA25" s="67" t="s">
        <v>332</v>
      </c>
      <c r="BB25" s="55" t="s">
        <v>8</v>
      </c>
      <c r="BC25" s="55" t="s">
        <v>8</v>
      </c>
      <c r="BD25" s="55" t="s">
        <v>8</v>
      </c>
      <c r="BE25" s="55" t="s">
        <v>7</v>
      </c>
      <c r="BF25" s="55" t="s">
        <v>7</v>
      </c>
      <c r="BG25" s="55" t="s">
        <v>8</v>
      </c>
      <c r="BH25" s="55" t="s">
        <v>8</v>
      </c>
      <c r="BI25" s="55" t="s">
        <v>7</v>
      </c>
      <c r="BJ25" s="55" t="s">
        <v>8</v>
      </c>
      <c r="BK25" s="55" t="s">
        <v>8</v>
      </c>
      <c r="BL25" s="55" t="s">
        <v>334</v>
      </c>
      <c r="BM25" s="55" t="s">
        <v>334</v>
      </c>
      <c r="BN25" s="55" t="s">
        <v>8</v>
      </c>
      <c r="BO25" s="55" t="s">
        <v>8</v>
      </c>
      <c r="BP25" s="55" t="s">
        <v>334</v>
      </c>
      <c r="BQ25" s="55" t="s">
        <v>334</v>
      </c>
    </row>
    <row r="26" spans="1:69" x14ac:dyDescent="0.25">
      <c r="A26" s="2">
        <v>2</v>
      </c>
      <c r="B26" s="2">
        <v>25</v>
      </c>
      <c r="C26" s="2" t="s">
        <v>127</v>
      </c>
      <c r="D26" s="2" t="s">
        <v>127</v>
      </c>
      <c r="E26" s="2" t="s">
        <v>79</v>
      </c>
      <c r="F26" s="2" t="s">
        <v>128</v>
      </c>
      <c r="G26" s="2" t="s">
        <v>369</v>
      </c>
      <c r="H26" s="2" t="s">
        <v>129</v>
      </c>
      <c r="I26" s="2" t="s">
        <v>130</v>
      </c>
      <c r="J26" s="2" t="s">
        <v>131</v>
      </c>
      <c r="K26" s="2" t="s">
        <v>81</v>
      </c>
      <c r="L26" s="3">
        <v>3</v>
      </c>
      <c r="M26" s="50">
        <v>46478</v>
      </c>
      <c r="N26" s="50">
        <v>47209</v>
      </c>
      <c r="O26" s="50">
        <v>46211</v>
      </c>
      <c r="P26" s="4">
        <v>511733189.5</v>
      </c>
      <c r="Q26" s="4" t="s">
        <v>359</v>
      </c>
      <c r="R26" s="2" t="s">
        <v>132</v>
      </c>
      <c r="S26" s="5">
        <v>0.3</v>
      </c>
      <c r="T26" s="3">
        <f t="shared" si="0"/>
        <v>90.45</v>
      </c>
      <c r="U26" s="3">
        <f t="shared" si="1"/>
        <v>271.35000000000002</v>
      </c>
      <c r="V26" s="5">
        <f t="shared" si="2"/>
        <v>0.30016583747927034</v>
      </c>
      <c r="W26" s="3">
        <f t="shared" si="3"/>
        <v>90.5</v>
      </c>
      <c r="X26" s="3">
        <f t="shared" si="4"/>
        <v>271.5</v>
      </c>
      <c r="Y26" s="4">
        <f t="shared" si="5"/>
        <v>1697290.8441127695</v>
      </c>
      <c r="Z26" s="4">
        <f t="shared" si="6"/>
        <v>5654510.3812154699</v>
      </c>
      <c r="AA26" s="3">
        <v>301.5</v>
      </c>
      <c r="AB26" s="3">
        <v>90.5</v>
      </c>
      <c r="AC26" s="2" t="s">
        <v>133</v>
      </c>
      <c r="AD26" s="2" t="s">
        <v>80</v>
      </c>
      <c r="AE26" s="6">
        <f t="shared" si="7"/>
        <v>0.54</v>
      </c>
      <c r="AF26" s="6">
        <f t="shared" si="8"/>
        <v>0.44000000000000006</v>
      </c>
      <c r="AG26" s="6">
        <f t="shared" si="9"/>
        <v>0.52</v>
      </c>
      <c r="AH26" s="6">
        <v>1</v>
      </c>
      <c r="AI26" s="6">
        <v>1</v>
      </c>
      <c r="AJ26" s="6">
        <v>0.5</v>
      </c>
      <c r="AK26" s="6">
        <v>0.5</v>
      </c>
      <c r="AL26" s="6">
        <v>0</v>
      </c>
      <c r="AM26" s="6">
        <v>0</v>
      </c>
      <c r="AN26" s="6">
        <v>0</v>
      </c>
      <c r="AO26" s="6">
        <v>0.7</v>
      </c>
      <c r="AP26" s="6">
        <v>0.7</v>
      </c>
      <c r="AQ26" s="6">
        <v>1</v>
      </c>
      <c r="AR26" s="6">
        <v>0.5</v>
      </c>
      <c r="AS26" s="6">
        <v>0.5</v>
      </c>
      <c r="AT26" s="6">
        <v>0.5</v>
      </c>
      <c r="AU26" s="6">
        <v>0.5</v>
      </c>
      <c r="AV26" s="6">
        <v>0</v>
      </c>
      <c r="AW26" s="6">
        <v>0</v>
      </c>
      <c r="AX26" s="6">
        <v>0</v>
      </c>
      <c r="AY26" s="6">
        <v>0</v>
      </c>
      <c r="AZ26" s="67" t="s">
        <v>8</v>
      </c>
      <c r="BA26" s="67" t="s">
        <v>8</v>
      </c>
      <c r="BB26" s="67" t="s">
        <v>333</v>
      </c>
      <c r="BC26" s="67" t="s">
        <v>334</v>
      </c>
      <c r="BD26" s="67" t="s">
        <v>332</v>
      </c>
      <c r="BE26" s="67" t="s">
        <v>332</v>
      </c>
      <c r="BF26" s="67" t="s">
        <v>332</v>
      </c>
      <c r="BG26" s="67" t="s">
        <v>334</v>
      </c>
      <c r="BH26" s="67" t="s">
        <v>334</v>
      </c>
      <c r="BI26" s="67" t="s">
        <v>7</v>
      </c>
      <c r="BJ26" s="67" t="s">
        <v>334</v>
      </c>
      <c r="BK26" s="67" t="s">
        <v>334</v>
      </c>
      <c r="BL26" s="67" t="s">
        <v>334</v>
      </c>
      <c r="BM26" s="67" t="s">
        <v>334</v>
      </c>
      <c r="BN26" s="67" t="s">
        <v>332</v>
      </c>
      <c r="BO26" s="67" t="s">
        <v>332</v>
      </c>
      <c r="BP26" s="67" t="s">
        <v>332</v>
      </c>
      <c r="BQ26" s="67" t="s">
        <v>332</v>
      </c>
    </row>
    <row r="27" spans="1:69" x14ac:dyDescent="0.25">
      <c r="A27" s="2">
        <v>3</v>
      </c>
      <c r="B27" s="2">
        <v>26</v>
      </c>
      <c r="C27" s="2" t="s">
        <v>134</v>
      </c>
      <c r="D27" s="2" t="s">
        <v>134</v>
      </c>
      <c r="E27" s="2" t="s">
        <v>82</v>
      </c>
      <c r="F27" s="2" t="s">
        <v>128</v>
      </c>
      <c r="G27" s="2" t="s">
        <v>368</v>
      </c>
      <c r="H27" s="2" t="s">
        <v>135</v>
      </c>
      <c r="I27" s="2" t="s">
        <v>136</v>
      </c>
      <c r="J27" s="2" t="s">
        <v>137</v>
      </c>
      <c r="K27" s="2" t="s">
        <v>84</v>
      </c>
      <c r="L27" s="3">
        <v>3</v>
      </c>
      <c r="M27" s="50">
        <v>46388</v>
      </c>
      <c r="N27" s="50">
        <v>47025</v>
      </c>
      <c r="O27" s="50">
        <v>46211</v>
      </c>
      <c r="P27" s="4">
        <v>268429155.5</v>
      </c>
      <c r="Q27" s="4" t="s">
        <v>359</v>
      </c>
      <c r="R27" s="2" t="s">
        <v>132</v>
      </c>
      <c r="S27" s="5">
        <v>0.3</v>
      </c>
      <c r="T27" s="3">
        <f t="shared" si="0"/>
        <v>60</v>
      </c>
      <c r="U27" s="3">
        <f t="shared" si="1"/>
        <v>180</v>
      </c>
      <c r="V27" s="5">
        <f t="shared" si="2"/>
        <v>0.32500000000000001</v>
      </c>
      <c r="W27" s="3">
        <f t="shared" si="3"/>
        <v>65</v>
      </c>
      <c r="X27" s="3">
        <f t="shared" si="4"/>
        <v>195</v>
      </c>
      <c r="Y27" s="4">
        <f t="shared" si="5"/>
        <v>1342145.7775000001</v>
      </c>
      <c r="Z27" s="4">
        <f t="shared" si="6"/>
        <v>4129679.3153846152</v>
      </c>
      <c r="AA27" s="3">
        <v>200</v>
      </c>
      <c r="AB27" s="3">
        <v>65</v>
      </c>
      <c r="AC27" s="2" t="s">
        <v>138</v>
      </c>
      <c r="AD27" s="2" t="s">
        <v>83</v>
      </c>
      <c r="AE27" s="6">
        <f t="shared" si="7"/>
        <v>0.68</v>
      </c>
      <c r="AF27" s="6">
        <f t="shared" si="8"/>
        <v>0.51500000000000001</v>
      </c>
      <c r="AG27" s="6">
        <f t="shared" si="9"/>
        <v>0.64700000000000002</v>
      </c>
      <c r="AH27" s="6">
        <v>1</v>
      </c>
      <c r="AI27" s="6">
        <v>0.5</v>
      </c>
      <c r="AJ27" s="6">
        <v>1</v>
      </c>
      <c r="AK27" s="6">
        <v>0.7</v>
      </c>
      <c r="AL27" s="6">
        <v>0.5</v>
      </c>
      <c r="AM27" s="6">
        <v>0</v>
      </c>
      <c r="AN27" s="6">
        <v>0</v>
      </c>
      <c r="AO27" s="6">
        <v>0.7</v>
      </c>
      <c r="AP27" s="6">
        <v>0.7</v>
      </c>
      <c r="AQ27" s="6">
        <v>1</v>
      </c>
      <c r="AR27" s="6">
        <v>1</v>
      </c>
      <c r="AS27" s="6">
        <v>0</v>
      </c>
      <c r="AT27" s="6">
        <v>0</v>
      </c>
      <c r="AU27" s="6">
        <v>0</v>
      </c>
      <c r="AV27" s="6">
        <v>0.5</v>
      </c>
      <c r="AW27" s="6">
        <v>0</v>
      </c>
      <c r="AX27" s="6">
        <v>0.5</v>
      </c>
      <c r="AY27" s="6">
        <v>0.5</v>
      </c>
      <c r="AZ27" s="67" t="s">
        <v>8</v>
      </c>
      <c r="BA27" s="67" t="s">
        <v>332</v>
      </c>
      <c r="BB27" s="67" t="s">
        <v>8</v>
      </c>
      <c r="BC27" s="67" t="s">
        <v>333</v>
      </c>
      <c r="BD27" s="67" t="s">
        <v>332</v>
      </c>
      <c r="BE27" s="67" t="s">
        <v>332</v>
      </c>
      <c r="BF27" s="67" t="s">
        <v>332</v>
      </c>
      <c r="BG27" s="67" t="s">
        <v>334</v>
      </c>
      <c r="BH27" s="67" t="s">
        <v>334</v>
      </c>
      <c r="BI27" s="67" t="s">
        <v>7</v>
      </c>
      <c r="BJ27" s="67" t="s">
        <v>8</v>
      </c>
      <c r="BK27" s="67" t="s">
        <v>332</v>
      </c>
      <c r="BL27" s="67" t="s">
        <v>332</v>
      </c>
      <c r="BM27" s="67" t="s">
        <v>332</v>
      </c>
      <c r="BN27" s="67" t="s">
        <v>334</v>
      </c>
      <c r="BO27" s="67" t="s">
        <v>332</v>
      </c>
      <c r="BP27" s="67" t="s">
        <v>334</v>
      </c>
      <c r="BQ27" s="67" t="s">
        <v>334</v>
      </c>
    </row>
    <row r="28" spans="1:69" x14ac:dyDescent="0.25">
      <c r="A28" s="2">
        <v>4</v>
      </c>
      <c r="B28" s="2">
        <v>27</v>
      </c>
      <c r="C28" s="2" t="s">
        <v>139</v>
      </c>
      <c r="D28" s="2" t="s">
        <v>139</v>
      </c>
      <c r="E28" s="2" t="s">
        <v>14</v>
      </c>
      <c r="F28" s="2" t="s">
        <v>140</v>
      </c>
      <c r="G28" s="2" t="s">
        <v>368</v>
      </c>
      <c r="H28" s="2" t="s">
        <v>141</v>
      </c>
      <c r="I28" s="2" t="s">
        <v>142</v>
      </c>
      <c r="J28" s="2" t="s">
        <v>143</v>
      </c>
      <c r="K28" s="2" t="s">
        <v>16</v>
      </c>
      <c r="L28" s="3">
        <v>4</v>
      </c>
      <c r="M28" s="50">
        <v>46507</v>
      </c>
      <c r="N28" s="50">
        <v>47054</v>
      </c>
      <c r="O28" s="50">
        <v>46216</v>
      </c>
      <c r="P28" s="4">
        <v>152328187</v>
      </c>
      <c r="Q28" s="4" t="s">
        <v>358</v>
      </c>
      <c r="R28" s="2" t="s">
        <v>144</v>
      </c>
      <c r="S28" s="5">
        <v>0.3</v>
      </c>
      <c r="T28" s="3">
        <f t="shared" si="0"/>
        <v>27</v>
      </c>
      <c r="U28" s="3">
        <f t="shared" si="1"/>
        <v>81</v>
      </c>
      <c r="V28" s="5">
        <f t="shared" si="2"/>
        <v>1</v>
      </c>
      <c r="W28" s="3">
        <f t="shared" si="3"/>
        <v>90</v>
      </c>
      <c r="X28" s="3">
        <f t="shared" si="4"/>
        <v>270</v>
      </c>
      <c r="Y28" s="4">
        <f t="shared" si="5"/>
        <v>1692535.4111111111</v>
      </c>
      <c r="Z28" s="4">
        <f t="shared" si="6"/>
        <v>1692535.4111111111</v>
      </c>
      <c r="AA28" s="3">
        <v>90</v>
      </c>
      <c r="AB28" s="3">
        <v>90</v>
      </c>
      <c r="AC28" s="2" t="s">
        <v>145</v>
      </c>
      <c r="AD28" s="2" t="s">
        <v>15</v>
      </c>
      <c r="AE28" s="6">
        <f t="shared" si="7"/>
        <v>0.83500000000000019</v>
      </c>
      <c r="AF28" s="6">
        <f t="shared" si="8"/>
        <v>0.81500000000000017</v>
      </c>
      <c r="AG28" s="6">
        <f t="shared" si="9"/>
        <v>0.83100000000000018</v>
      </c>
      <c r="AH28" s="6">
        <v>1</v>
      </c>
      <c r="AI28" s="6">
        <v>0.8</v>
      </c>
      <c r="AJ28" s="6">
        <v>0.9</v>
      </c>
      <c r="AK28" s="6">
        <v>0.8</v>
      </c>
      <c r="AL28" s="6">
        <v>0.8</v>
      </c>
      <c r="AM28" s="6">
        <v>0.5</v>
      </c>
      <c r="AN28" s="6">
        <v>0.5</v>
      </c>
      <c r="AO28" s="6">
        <v>0.8</v>
      </c>
      <c r="AP28" s="6">
        <v>0.8</v>
      </c>
      <c r="AQ28" s="6">
        <v>1</v>
      </c>
      <c r="AR28" s="6">
        <v>0.5</v>
      </c>
      <c r="AS28" s="6">
        <v>0.5</v>
      </c>
      <c r="AT28" s="6">
        <v>1</v>
      </c>
      <c r="AU28" s="6">
        <v>1</v>
      </c>
      <c r="AV28" s="6">
        <v>1</v>
      </c>
      <c r="AW28" s="6">
        <v>1</v>
      </c>
      <c r="AX28" s="6">
        <v>1</v>
      </c>
      <c r="AY28" s="6">
        <v>1</v>
      </c>
      <c r="AZ28" s="54" t="s">
        <v>8</v>
      </c>
      <c r="BA28" s="67" t="s">
        <v>332</v>
      </c>
      <c r="BB28" s="55" t="s">
        <v>8</v>
      </c>
      <c r="BC28" s="55" t="s">
        <v>334</v>
      </c>
      <c r="BD28" s="55" t="s">
        <v>334</v>
      </c>
      <c r="BE28" s="55" t="s">
        <v>332</v>
      </c>
      <c r="BF28" s="55" t="s">
        <v>332</v>
      </c>
      <c r="BG28" s="55" t="s">
        <v>333</v>
      </c>
      <c r="BH28" s="55" t="s">
        <v>333</v>
      </c>
      <c r="BI28" s="55" t="s">
        <v>7</v>
      </c>
      <c r="BJ28" s="55" t="s">
        <v>334</v>
      </c>
      <c r="BK28" s="55" t="s">
        <v>334</v>
      </c>
      <c r="BL28" s="55" t="s">
        <v>8</v>
      </c>
      <c r="BM28" s="55" t="s">
        <v>8</v>
      </c>
      <c r="BN28" s="63" t="s">
        <v>8</v>
      </c>
      <c r="BO28" s="63" t="s">
        <v>8</v>
      </c>
      <c r="BP28" s="55" t="s">
        <v>8</v>
      </c>
      <c r="BQ28" s="55" t="s">
        <v>8</v>
      </c>
    </row>
    <row r="29" spans="1:69" x14ac:dyDescent="0.25">
      <c r="A29" s="13">
        <v>35</v>
      </c>
      <c r="B29" s="13">
        <v>28</v>
      </c>
      <c r="C29" s="13" t="s">
        <v>296</v>
      </c>
      <c r="D29" s="13" t="s">
        <v>296</v>
      </c>
      <c r="E29" s="13" t="s">
        <v>85</v>
      </c>
      <c r="F29" s="13" t="s">
        <v>297</v>
      </c>
      <c r="G29" s="13" t="s">
        <v>368</v>
      </c>
      <c r="H29" s="13" t="s">
        <v>298</v>
      </c>
      <c r="I29" s="13" t="s">
        <v>299</v>
      </c>
      <c r="J29" s="13" t="s">
        <v>300</v>
      </c>
      <c r="K29" s="13" t="s">
        <v>87</v>
      </c>
      <c r="L29" s="14" t="s">
        <v>301</v>
      </c>
      <c r="M29" s="52">
        <v>46477</v>
      </c>
      <c r="N29" s="52">
        <v>47302</v>
      </c>
      <c r="O29" s="52" t="s">
        <v>286</v>
      </c>
      <c r="P29" s="16" t="s">
        <v>286</v>
      </c>
      <c r="Q29" s="16" t="s">
        <v>359</v>
      </c>
      <c r="R29" s="13" t="s">
        <v>286</v>
      </c>
      <c r="S29" s="56">
        <v>0.3</v>
      </c>
      <c r="T29" s="14">
        <f t="shared" si="0"/>
        <v>81</v>
      </c>
      <c r="U29" s="14">
        <f t="shared" si="1"/>
        <v>243</v>
      </c>
      <c r="V29" s="56">
        <f t="shared" si="2"/>
        <v>0.3</v>
      </c>
      <c r="W29" s="14">
        <f t="shared" si="3"/>
        <v>81</v>
      </c>
      <c r="X29" s="14">
        <f t="shared" si="4"/>
        <v>243</v>
      </c>
      <c r="Y29" s="16" t="e">
        <f t="shared" si="5"/>
        <v>#VALUE!</v>
      </c>
      <c r="Z29" s="16" t="e">
        <f t="shared" si="6"/>
        <v>#VALUE!</v>
      </c>
      <c r="AA29" s="14">
        <v>270</v>
      </c>
      <c r="AB29" s="14">
        <v>81</v>
      </c>
      <c r="AC29" s="13" t="s">
        <v>302</v>
      </c>
      <c r="AD29" s="13" t="s">
        <v>86</v>
      </c>
      <c r="AE29" s="57">
        <f t="shared" si="7"/>
        <v>0.44000000000000006</v>
      </c>
      <c r="AF29" s="57">
        <f t="shared" si="8"/>
        <v>0.255</v>
      </c>
      <c r="AG29" s="57">
        <f t="shared" si="9"/>
        <v>0.40300000000000008</v>
      </c>
      <c r="AH29" s="57">
        <v>0.5</v>
      </c>
      <c r="AI29" s="57">
        <v>0.3</v>
      </c>
      <c r="AJ29" s="57">
        <v>1</v>
      </c>
      <c r="AK29" s="57">
        <v>0.7</v>
      </c>
      <c r="AL29" s="57">
        <v>0</v>
      </c>
      <c r="AM29" s="57">
        <v>0</v>
      </c>
      <c r="AN29" s="57">
        <v>0</v>
      </c>
      <c r="AO29" s="57">
        <v>0</v>
      </c>
      <c r="AP29" s="57">
        <v>0</v>
      </c>
      <c r="AQ29" s="57">
        <v>1</v>
      </c>
      <c r="AR29" s="57">
        <v>0</v>
      </c>
      <c r="AS29" s="57">
        <v>0</v>
      </c>
      <c r="AT29" s="57">
        <v>0.5</v>
      </c>
      <c r="AU29" s="57">
        <v>0.5</v>
      </c>
      <c r="AV29" s="57">
        <v>0.5</v>
      </c>
      <c r="AW29" s="57">
        <v>0</v>
      </c>
      <c r="AX29" s="57">
        <v>0</v>
      </c>
      <c r="AY29" s="57">
        <v>0</v>
      </c>
      <c r="AZ29" s="68" t="s">
        <v>332</v>
      </c>
      <c r="BA29" s="68" t="s">
        <v>332</v>
      </c>
      <c r="BB29" s="68" t="s">
        <v>8</v>
      </c>
      <c r="BC29" s="68" t="s">
        <v>334</v>
      </c>
      <c r="BD29" s="68" t="s">
        <v>332</v>
      </c>
      <c r="BE29" s="68" t="s">
        <v>332</v>
      </c>
      <c r="BF29" s="68" t="s">
        <v>332</v>
      </c>
      <c r="BG29" s="68" t="s">
        <v>332</v>
      </c>
      <c r="BH29" s="68" t="s">
        <v>332</v>
      </c>
      <c r="BI29" s="68" t="s">
        <v>7</v>
      </c>
      <c r="BJ29" s="68" t="s">
        <v>332</v>
      </c>
      <c r="BK29" s="68" t="s">
        <v>332</v>
      </c>
      <c r="BL29" s="68" t="s">
        <v>334</v>
      </c>
      <c r="BM29" s="68" t="s">
        <v>334</v>
      </c>
      <c r="BN29" s="68" t="s">
        <v>334</v>
      </c>
      <c r="BO29" s="68" t="s">
        <v>334</v>
      </c>
      <c r="BP29" s="68" t="s">
        <v>332</v>
      </c>
      <c r="BQ29" s="68" t="s">
        <v>332</v>
      </c>
    </row>
    <row r="30" spans="1:69" x14ac:dyDescent="0.25">
      <c r="A30" s="2">
        <v>10</v>
      </c>
      <c r="B30" s="2">
        <v>29</v>
      </c>
      <c r="C30" s="2" t="s">
        <v>178</v>
      </c>
      <c r="D30" s="2" t="s">
        <v>178</v>
      </c>
      <c r="E30" s="2" t="s">
        <v>25</v>
      </c>
      <c r="F30" s="2" t="s">
        <v>166</v>
      </c>
      <c r="G30" s="2" t="s">
        <v>368</v>
      </c>
      <c r="H30" s="2" t="s">
        <v>179</v>
      </c>
      <c r="I30" s="2" t="s">
        <v>180</v>
      </c>
      <c r="J30" s="2" t="s">
        <v>181</v>
      </c>
      <c r="K30" s="2" t="s">
        <v>27</v>
      </c>
      <c r="L30" s="7">
        <v>3.016</v>
      </c>
      <c r="M30" s="50">
        <v>46327</v>
      </c>
      <c r="N30" s="50">
        <v>46844</v>
      </c>
      <c r="O30" s="50">
        <v>46206</v>
      </c>
      <c r="P30" s="4">
        <v>18768631.300000001</v>
      </c>
      <c r="Q30" s="4" t="s">
        <v>358</v>
      </c>
      <c r="R30" s="2" t="s">
        <v>170</v>
      </c>
      <c r="S30" s="5">
        <v>0.3</v>
      </c>
      <c r="T30" s="3">
        <f t="shared" si="0"/>
        <v>5.76</v>
      </c>
      <c r="U30" s="3">
        <f t="shared" si="1"/>
        <v>17.28</v>
      </c>
      <c r="V30" s="5">
        <f t="shared" si="2"/>
        <v>0.31770833333333331</v>
      </c>
      <c r="W30" s="3">
        <f t="shared" si="3"/>
        <v>6.1</v>
      </c>
      <c r="X30" s="3">
        <f t="shared" si="4"/>
        <v>18.299999999999997</v>
      </c>
      <c r="Y30" s="4">
        <f t="shared" si="5"/>
        <v>977532.88020833337</v>
      </c>
      <c r="Z30" s="4">
        <f t="shared" si="6"/>
        <v>3076824.8032786888</v>
      </c>
      <c r="AA30" s="3">
        <v>19.2</v>
      </c>
      <c r="AB30" s="3">
        <v>6.1</v>
      </c>
      <c r="AC30" s="2" t="s">
        <v>182</v>
      </c>
      <c r="AD30" s="2" t="s">
        <v>26</v>
      </c>
      <c r="AE30" s="6">
        <f t="shared" si="7"/>
        <v>0.88500000000000023</v>
      </c>
      <c r="AF30" s="6">
        <f t="shared" si="8"/>
        <v>0.79500000000000015</v>
      </c>
      <c r="AG30" s="6">
        <f t="shared" si="9"/>
        <v>0.86700000000000021</v>
      </c>
      <c r="AH30" s="6">
        <v>0.9</v>
      </c>
      <c r="AI30" s="6">
        <v>0</v>
      </c>
      <c r="AJ30" s="6">
        <v>1</v>
      </c>
      <c r="AK30" s="6">
        <v>0.8</v>
      </c>
      <c r="AL30" s="6">
        <v>0.8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0.7</v>
      </c>
      <c r="AS30" s="6">
        <v>0.7</v>
      </c>
      <c r="AT30" s="6">
        <v>1</v>
      </c>
      <c r="AU30" s="6">
        <v>1</v>
      </c>
      <c r="AV30" s="64">
        <v>0.5</v>
      </c>
      <c r="AW30" s="64">
        <v>0.5</v>
      </c>
      <c r="AX30" s="6">
        <v>0.5</v>
      </c>
      <c r="AY30" s="6">
        <v>0.5</v>
      </c>
      <c r="AZ30" s="54" t="s">
        <v>333</v>
      </c>
      <c r="BA30" s="67" t="s">
        <v>332</v>
      </c>
      <c r="BB30" s="55" t="s">
        <v>8</v>
      </c>
      <c r="BC30" s="55" t="s">
        <v>334</v>
      </c>
      <c r="BD30" s="55" t="s">
        <v>334</v>
      </c>
      <c r="BE30" s="55" t="s">
        <v>7</v>
      </c>
      <c r="BF30" s="55" t="s">
        <v>7</v>
      </c>
      <c r="BG30" s="55" t="s">
        <v>8</v>
      </c>
      <c r="BH30" s="55" t="s">
        <v>8</v>
      </c>
      <c r="BI30" s="55" t="s">
        <v>7</v>
      </c>
      <c r="BJ30" s="55" t="s">
        <v>333</v>
      </c>
      <c r="BK30" s="55" t="s">
        <v>333</v>
      </c>
      <c r="BL30" s="55" t="s">
        <v>8</v>
      </c>
      <c r="BM30" s="55" t="s">
        <v>8</v>
      </c>
      <c r="BN30" s="63" t="s">
        <v>334</v>
      </c>
      <c r="BO30" s="63" t="s">
        <v>334</v>
      </c>
      <c r="BP30" s="55" t="s">
        <v>334</v>
      </c>
      <c r="BQ30" s="55" t="s">
        <v>334</v>
      </c>
    </row>
    <row r="31" spans="1:69" x14ac:dyDescent="0.25">
      <c r="A31" s="2">
        <v>9</v>
      </c>
      <c r="B31" s="2">
        <v>30</v>
      </c>
      <c r="C31" s="2" t="s">
        <v>173</v>
      </c>
      <c r="D31" s="2" t="s">
        <v>173</v>
      </c>
      <c r="E31" s="2" t="s">
        <v>88</v>
      </c>
      <c r="F31" s="2" t="s">
        <v>166</v>
      </c>
      <c r="G31" s="2" t="s">
        <v>368</v>
      </c>
      <c r="H31" s="2" t="s">
        <v>174</v>
      </c>
      <c r="I31" s="2" t="s">
        <v>175</v>
      </c>
      <c r="J31" s="2" t="s">
        <v>176</v>
      </c>
      <c r="K31" s="2" t="s">
        <v>90</v>
      </c>
      <c r="L31" s="3">
        <v>3.08</v>
      </c>
      <c r="M31" s="50">
        <v>46447</v>
      </c>
      <c r="N31" s="50">
        <v>47085</v>
      </c>
      <c r="O31" s="50">
        <v>46206</v>
      </c>
      <c r="P31" s="4">
        <v>119934283</v>
      </c>
      <c r="Q31" s="4" t="s">
        <v>359</v>
      </c>
      <c r="R31" s="2" t="s">
        <v>170</v>
      </c>
      <c r="S31" s="5">
        <v>0.3</v>
      </c>
      <c r="T31" s="3">
        <f t="shared" si="0"/>
        <v>33</v>
      </c>
      <c r="U31" s="3">
        <f t="shared" si="1"/>
        <v>99</v>
      </c>
      <c r="V31" s="5">
        <f t="shared" si="2"/>
        <v>0.3</v>
      </c>
      <c r="W31" s="3">
        <f t="shared" si="3"/>
        <v>33</v>
      </c>
      <c r="X31" s="3">
        <f t="shared" si="4"/>
        <v>99</v>
      </c>
      <c r="Y31" s="4">
        <f t="shared" si="5"/>
        <v>1090311.6636363636</v>
      </c>
      <c r="Z31" s="4">
        <f t="shared" si="6"/>
        <v>3634372.2121212119</v>
      </c>
      <c r="AA31" s="3">
        <v>110</v>
      </c>
      <c r="AB31" s="3">
        <v>33</v>
      </c>
      <c r="AC31" s="2" t="s">
        <v>177</v>
      </c>
      <c r="AD31" s="2" t="s">
        <v>89</v>
      </c>
      <c r="AE31" s="6">
        <f t="shared" si="7"/>
        <v>0.64000000000000012</v>
      </c>
      <c r="AF31" s="6">
        <f t="shared" si="8"/>
        <v>0.64000000000000012</v>
      </c>
      <c r="AG31" s="6">
        <f t="shared" si="9"/>
        <v>0.64000000000000012</v>
      </c>
      <c r="AH31" s="6">
        <v>1</v>
      </c>
      <c r="AI31" s="6">
        <v>1</v>
      </c>
      <c r="AJ31" s="6">
        <v>1</v>
      </c>
      <c r="AK31" s="6">
        <v>0.9</v>
      </c>
      <c r="AL31" s="6">
        <v>0.9</v>
      </c>
      <c r="AM31" s="6">
        <v>0</v>
      </c>
      <c r="AN31" s="6">
        <v>0</v>
      </c>
      <c r="AO31" s="6">
        <v>0.8</v>
      </c>
      <c r="AP31" s="6">
        <v>0.8</v>
      </c>
      <c r="AQ31" s="6">
        <v>0</v>
      </c>
      <c r="AR31" s="6">
        <v>0</v>
      </c>
      <c r="AS31" s="6">
        <v>0</v>
      </c>
      <c r="AT31" s="6">
        <v>1</v>
      </c>
      <c r="AU31" s="6">
        <v>1</v>
      </c>
      <c r="AV31" s="6">
        <v>0</v>
      </c>
      <c r="AW31" s="6">
        <v>0</v>
      </c>
      <c r="AX31" s="6">
        <v>1</v>
      </c>
      <c r="AY31" s="6">
        <v>1</v>
      </c>
      <c r="AZ31" s="67" t="s">
        <v>8</v>
      </c>
      <c r="BA31" s="67" t="s">
        <v>8</v>
      </c>
      <c r="BB31" s="67" t="s">
        <v>8</v>
      </c>
      <c r="BC31" s="67" t="s">
        <v>334</v>
      </c>
      <c r="BD31" s="67" t="s">
        <v>334</v>
      </c>
      <c r="BE31" s="67" t="s">
        <v>332</v>
      </c>
      <c r="BF31" s="67" t="s">
        <v>332</v>
      </c>
      <c r="BG31" s="67" t="s">
        <v>334</v>
      </c>
      <c r="BH31" s="67" t="s">
        <v>334</v>
      </c>
      <c r="BI31" s="67" t="s">
        <v>332</v>
      </c>
      <c r="BJ31" s="67" t="s">
        <v>332</v>
      </c>
      <c r="BK31" s="67" t="s">
        <v>332</v>
      </c>
      <c r="BL31" s="67" t="s">
        <v>8</v>
      </c>
      <c r="BM31" s="67" t="s">
        <v>8</v>
      </c>
      <c r="BN31" s="67" t="s">
        <v>332</v>
      </c>
      <c r="BO31" s="67" t="s">
        <v>332</v>
      </c>
      <c r="BP31" s="67" t="s">
        <v>8</v>
      </c>
      <c r="BQ31" s="67" t="s">
        <v>8</v>
      </c>
    </row>
    <row r="32" spans="1:69" x14ac:dyDescent="0.25">
      <c r="A32" s="2">
        <v>8</v>
      </c>
      <c r="B32" s="2">
        <v>31</v>
      </c>
      <c r="C32" s="2" t="s">
        <v>165</v>
      </c>
      <c r="D32" s="2" t="s">
        <v>165</v>
      </c>
      <c r="E32" s="2" t="s">
        <v>91</v>
      </c>
      <c r="F32" s="2" t="s">
        <v>166</v>
      </c>
      <c r="G32" s="2" t="s">
        <v>368</v>
      </c>
      <c r="H32" s="2" t="s">
        <v>167</v>
      </c>
      <c r="I32" s="2" t="s">
        <v>168</v>
      </c>
      <c r="J32" s="2" t="s">
        <v>169</v>
      </c>
      <c r="K32" s="2" t="s">
        <v>92</v>
      </c>
      <c r="L32" s="3">
        <v>3.18</v>
      </c>
      <c r="M32" s="50">
        <v>46447</v>
      </c>
      <c r="N32" s="50">
        <v>47088</v>
      </c>
      <c r="O32" s="50">
        <v>46206</v>
      </c>
      <c r="P32" s="4">
        <v>78344588</v>
      </c>
      <c r="Q32" s="4" t="s">
        <v>359</v>
      </c>
      <c r="R32" s="2" t="s">
        <v>170</v>
      </c>
      <c r="S32" s="5">
        <v>0.3</v>
      </c>
      <c r="T32" s="3">
        <f t="shared" si="0"/>
        <v>22.5</v>
      </c>
      <c r="U32" s="3">
        <f t="shared" si="1"/>
        <v>67.5</v>
      </c>
      <c r="V32" s="5">
        <f t="shared" si="2"/>
        <v>0.3</v>
      </c>
      <c r="W32" s="3">
        <f t="shared" si="3"/>
        <v>22.5</v>
      </c>
      <c r="X32" s="3">
        <f t="shared" si="4"/>
        <v>67.5</v>
      </c>
      <c r="Y32" s="4">
        <f t="shared" si="5"/>
        <v>1044594.5066666667</v>
      </c>
      <c r="Z32" s="4">
        <f t="shared" si="6"/>
        <v>3481981.6888888888</v>
      </c>
      <c r="AA32" s="3">
        <v>75</v>
      </c>
      <c r="AB32" s="3">
        <v>22.5</v>
      </c>
      <c r="AC32" s="2" t="s">
        <v>171</v>
      </c>
      <c r="AD32" s="2" t="s">
        <v>172</v>
      </c>
      <c r="AE32" s="6">
        <f t="shared" si="7"/>
        <v>0.65500000000000003</v>
      </c>
      <c r="AF32" s="6">
        <f t="shared" si="8"/>
        <v>0.43</v>
      </c>
      <c r="AG32" s="6">
        <f t="shared" si="9"/>
        <v>0.61</v>
      </c>
      <c r="AH32" s="6">
        <v>1</v>
      </c>
      <c r="AI32" s="6">
        <v>0</v>
      </c>
      <c r="AJ32" s="6">
        <v>1</v>
      </c>
      <c r="AK32" s="6">
        <v>0.7</v>
      </c>
      <c r="AL32" s="6">
        <v>0.7</v>
      </c>
      <c r="AM32" s="6">
        <v>1</v>
      </c>
      <c r="AN32" s="6">
        <v>0</v>
      </c>
      <c r="AO32" s="6">
        <v>0.7</v>
      </c>
      <c r="AP32" s="6">
        <v>0.7</v>
      </c>
      <c r="AQ32" s="6">
        <v>0</v>
      </c>
      <c r="AR32" s="6">
        <v>0.5</v>
      </c>
      <c r="AS32" s="6">
        <v>0</v>
      </c>
      <c r="AT32" s="6">
        <v>1</v>
      </c>
      <c r="AU32" s="6">
        <v>1</v>
      </c>
      <c r="AV32" s="6">
        <v>0</v>
      </c>
      <c r="AW32" s="6">
        <v>0</v>
      </c>
      <c r="AX32" s="6">
        <v>0</v>
      </c>
      <c r="AY32" s="6">
        <v>0</v>
      </c>
      <c r="AZ32" s="67" t="s">
        <v>8</v>
      </c>
      <c r="BA32" s="67" t="s">
        <v>332</v>
      </c>
      <c r="BB32" s="67" t="s">
        <v>8</v>
      </c>
      <c r="BC32" s="67" t="s">
        <v>334</v>
      </c>
      <c r="BD32" s="67" t="s">
        <v>334</v>
      </c>
      <c r="BE32" s="67" t="s">
        <v>7</v>
      </c>
      <c r="BF32" s="67" t="s">
        <v>332</v>
      </c>
      <c r="BG32" s="67" t="s">
        <v>334</v>
      </c>
      <c r="BH32" s="67" t="s">
        <v>334</v>
      </c>
      <c r="BI32" s="67" t="s">
        <v>332</v>
      </c>
      <c r="BJ32" s="67" t="s">
        <v>334</v>
      </c>
      <c r="BK32" s="67" t="s">
        <v>332</v>
      </c>
      <c r="BL32" s="67" t="s">
        <v>8</v>
      </c>
      <c r="BM32" s="67" t="s">
        <v>8</v>
      </c>
      <c r="BN32" s="67" t="s">
        <v>332</v>
      </c>
      <c r="BO32" s="67" t="s">
        <v>332</v>
      </c>
      <c r="BP32" s="67" t="s">
        <v>332</v>
      </c>
      <c r="BQ32" s="67" t="s">
        <v>332</v>
      </c>
    </row>
    <row r="33" spans="1:69" x14ac:dyDescent="0.25">
      <c r="A33" s="2">
        <v>30</v>
      </c>
      <c r="B33" s="2">
        <v>32</v>
      </c>
      <c r="C33" s="2" t="s">
        <v>274</v>
      </c>
      <c r="D33" s="2" t="s">
        <v>274</v>
      </c>
      <c r="E33" s="2" t="s">
        <v>17</v>
      </c>
      <c r="F33" s="2" t="s">
        <v>275</v>
      </c>
      <c r="G33" s="2" t="s">
        <v>368</v>
      </c>
      <c r="H33" s="2" t="s">
        <v>276</v>
      </c>
      <c r="I33" s="2" t="s">
        <v>277</v>
      </c>
      <c r="J33" s="2" t="s">
        <v>278</v>
      </c>
      <c r="K33" s="2" t="s">
        <v>19</v>
      </c>
      <c r="L33" s="3">
        <v>3</v>
      </c>
      <c r="M33" s="50">
        <v>46357</v>
      </c>
      <c r="N33" s="50">
        <v>46905</v>
      </c>
      <c r="O33" s="50">
        <v>46206</v>
      </c>
      <c r="P33" s="4">
        <v>147073578.90000001</v>
      </c>
      <c r="Q33" s="4" t="s">
        <v>358</v>
      </c>
      <c r="R33" s="2" t="s">
        <v>279</v>
      </c>
      <c r="S33" s="5">
        <v>0.3</v>
      </c>
      <c r="T33" s="3">
        <f t="shared" si="0"/>
        <v>42.42</v>
      </c>
      <c r="U33" s="3">
        <f t="shared" si="1"/>
        <v>127.26</v>
      </c>
      <c r="V33" s="5">
        <f t="shared" si="2"/>
        <v>0.3</v>
      </c>
      <c r="W33" s="3">
        <f t="shared" si="3"/>
        <v>42.42</v>
      </c>
      <c r="X33" s="3">
        <f t="shared" si="4"/>
        <v>127.26</v>
      </c>
      <c r="Y33" s="4">
        <f t="shared" si="5"/>
        <v>1040124.3203677511</v>
      </c>
      <c r="Z33" s="4">
        <f t="shared" si="6"/>
        <v>3467081.0678925035</v>
      </c>
      <c r="AA33" s="3">
        <v>141.4</v>
      </c>
      <c r="AB33" s="3">
        <v>42.42</v>
      </c>
      <c r="AC33" s="2" t="s">
        <v>280</v>
      </c>
      <c r="AD33" s="2" t="s">
        <v>18</v>
      </c>
      <c r="AE33" s="6">
        <f t="shared" si="7"/>
        <v>0.86500000000000021</v>
      </c>
      <c r="AF33" s="6">
        <f t="shared" si="8"/>
        <v>0.37</v>
      </c>
      <c r="AG33" s="6">
        <f t="shared" si="9"/>
        <v>0.76600000000000013</v>
      </c>
      <c r="AH33" s="6">
        <v>0.9</v>
      </c>
      <c r="AI33" s="6">
        <v>0</v>
      </c>
      <c r="AJ33" s="6">
        <v>0.9</v>
      </c>
      <c r="AK33" s="6">
        <v>0.9</v>
      </c>
      <c r="AL33" s="6">
        <v>0.9</v>
      </c>
      <c r="AM33" s="6">
        <v>1</v>
      </c>
      <c r="AN33" s="6">
        <v>0</v>
      </c>
      <c r="AO33" s="6">
        <v>0.9</v>
      </c>
      <c r="AP33" s="6">
        <v>0</v>
      </c>
      <c r="AQ33" s="6">
        <v>1</v>
      </c>
      <c r="AR33" s="6">
        <v>1</v>
      </c>
      <c r="AS33" s="6">
        <v>0</v>
      </c>
      <c r="AT33" s="6">
        <v>1</v>
      </c>
      <c r="AU33" s="6">
        <v>0</v>
      </c>
      <c r="AV33" s="6">
        <v>0.5</v>
      </c>
      <c r="AW33" s="6">
        <v>0</v>
      </c>
      <c r="AX33" s="6">
        <v>0</v>
      </c>
      <c r="AY33" s="6">
        <v>0</v>
      </c>
      <c r="AZ33" s="54" t="s">
        <v>333</v>
      </c>
      <c r="BA33" s="67" t="s">
        <v>332</v>
      </c>
      <c r="BB33" s="55" t="s">
        <v>8</v>
      </c>
      <c r="BC33" s="55" t="s">
        <v>334</v>
      </c>
      <c r="BD33" s="55" t="s">
        <v>334</v>
      </c>
      <c r="BE33" s="67" t="s">
        <v>332</v>
      </c>
      <c r="BF33" s="67" t="s">
        <v>332</v>
      </c>
      <c r="BG33" s="55" t="s">
        <v>334</v>
      </c>
      <c r="BH33" s="67" t="s">
        <v>332</v>
      </c>
      <c r="BI33" s="55" t="s">
        <v>7</v>
      </c>
      <c r="BJ33" s="55" t="s">
        <v>8</v>
      </c>
      <c r="BK33" s="67" t="s">
        <v>332</v>
      </c>
      <c r="BL33" s="55" t="s">
        <v>8</v>
      </c>
      <c r="BM33" s="55" t="s">
        <v>8</v>
      </c>
      <c r="BN33" s="55" t="s">
        <v>334</v>
      </c>
      <c r="BO33" s="55" t="s">
        <v>334</v>
      </c>
      <c r="BP33" s="55" t="s">
        <v>332</v>
      </c>
      <c r="BQ33" s="55" t="s">
        <v>332</v>
      </c>
    </row>
    <row r="34" spans="1:69" x14ac:dyDescent="0.25">
      <c r="A34" s="2">
        <v>13</v>
      </c>
      <c r="B34" s="2">
        <v>33</v>
      </c>
      <c r="C34" s="2" t="s">
        <v>196</v>
      </c>
      <c r="D34" s="2" t="s">
        <v>196</v>
      </c>
      <c r="E34" s="2" t="s">
        <v>93</v>
      </c>
      <c r="F34" s="2" t="s">
        <v>197</v>
      </c>
      <c r="G34" s="2" t="s">
        <v>368</v>
      </c>
      <c r="H34" s="2" t="s">
        <v>198</v>
      </c>
      <c r="I34" s="2" t="s">
        <v>199</v>
      </c>
      <c r="J34" s="2" t="s">
        <v>200</v>
      </c>
      <c r="K34" s="2" t="s">
        <v>95</v>
      </c>
      <c r="L34" s="3">
        <v>3</v>
      </c>
      <c r="M34" s="50">
        <v>46447</v>
      </c>
      <c r="N34" s="50">
        <v>47119</v>
      </c>
      <c r="O34" s="50">
        <v>46206</v>
      </c>
      <c r="P34" s="4">
        <v>165352298.19999999</v>
      </c>
      <c r="Q34" s="4" t="s">
        <v>359</v>
      </c>
      <c r="R34" s="2" t="s">
        <v>201</v>
      </c>
      <c r="S34" s="5">
        <v>0.3</v>
      </c>
      <c r="T34" s="3">
        <f t="shared" si="0"/>
        <v>45</v>
      </c>
      <c r="U34" s="3">
        <f t="shared" si="1"/>
        <v>135</v>
      </c>
      <c r="V34" s="5">
        <f t="shared" si="2"/>
        <v>0.3</v>
      </c>
      <c r="W34" s="3">
        <f t="shared" si="3"/>
        <v>45</v>
      </c>
      <c r="X34" s="3">
        <f t="shared" si="4"/>
        <v>135</v>
      </c>
      <c r="Y34" s="4">
        <f t="shared" si="5"/>
        <v>1102348.6546666666</v>
      </c>
      <c r="Z34" s="4">
        <f t="shared" si="6"/>
        <v>3674495.5155555555</v>
      </c>
      <c r="AA34" s="3">
        <v>150</v>
      </c>
      <c r="AB34" s="3">
        <v>45</v>
      </c>
      <c r="AC34" s="2" t="s">
        <v>125</v>
      </c>
      <c r="AD34" s="2" t="s">
        <v>94</v>
      </c>
      <c r="AE34" s="6">
        <f t="shared" si="7"/>
        <v>0.35500000000000009</v>
      </c>
      <c r="AF34" s="6">
        <f t="shared" si="8"/>
        <v>0.35000000000000009</v>
      </c>
      <c r="AG34" s="6">
        <f t="shared" si="9"/>
        <v>0.35400000000000009</v>
      </c>
      <c r="AH34" s="6">
        <v>0.8</v>
      </c>
      <c r="AI34" s="6">
        <v>0</v>
      </c>
      <c r="AJ34" s="6">
        <v>1</v>
      </c>
      <c r="AK34" s="6">
        <v>0</v>
      </c>
      <c r="AL34" s="6">
        <v>0</v>
      </c>
      <c r="AM34" s="6">
        <v>0</v>
      </c>
      <c r="AN34" s="6">
        <v>1</v>
      </c>
      <c r="AO34" s="6">
        <v>0</v>
      </c>
      <c r="AP34" s="6">
        <v>0</v>
      </c>
      <c r="AQ34" s="6">
        <v>1</v>
      </c>
      <c r="AR34" s="6">
        <v>0.5</v>
      </c>
      <c r="AS34" s="6">
        <v>0</v>
      </c>
      <c r="AT34" s="6">
        <v>0.5</v>
      </c>
      <c r="AU34" s="6">
        <v>0.5</v>
      </c>
      <c r="AV34" s="6">
        <v>0.5</v>
      </c>
      <c r="AW34" s="6">
        <v>0.5</v>
      </c>
      <c r="AX34" s="6">
        <v>0</v>
      </c>
      <c r="AY34" s="6">
        <v>0</v>
      </c>
      <c r="AZ34" s="67" t="s">
        <v>332</v>
      </c>
      <c r="BA34" s="67" t="s">
        <v>332</v>
      </c>
      <c r="BB34" s="67" t="s">
        <v>8</v>
      </c>
      <c r="BC34" s="67" t="s">
        <v>332</v>
      </c>
      <c r="BD34" s="67" t="s">
        <v>332</v>
      </c>
      <c r="BE34" s="67" t="s">
        <v>332</v>
      </c>
      <c r="BF34" s="67" t="s">
        <v>7</v>
      </c>
      <c r="BG34" s="67" t="s">
        <v>332</v>
      </c>
      <c r="BH34" s="67" t="s">
        <v>332</v>
      </c>
      <c r="BI34" s="67" t="s">
        <v>7</v>
      </c>
      <c r="BJ34" s="67" t="s">
        <v>334</v>
      </c>
      <c r="BK34" s="67" t="s">
        <v>332</v>
      </c>
      <c r="BL34" s="67" t="s">
        <v>334</v>
      </c>
      <c r="BM34" s="67" t="s">
        <v>334</v>
      </c>
      <c r="BN34" s="67" t="s">
        <v>334</v>
      </c>
      <c r="BO34" s="67" t="s">
        <v>334</v>
      </c>
      <c r="BP34" s="67" t="s">
        <v>332</v>
      </c>
      <c r="BQ34" s="67" t="s">
        <v>332</v>
      </c>
    </row>
    <row r="35" spans="1:69" s="12" customFormat="1" x14ac:dyDescent="0.25">
      <c r="A35" s="13">
        <v>39</v>
      </c>
      <c r="B35" s="13">
        <v>34</v>
      </c>
      <c r="C35" s="13" t="s">
        <v>308</v>
      </c>
      <c r="D35" s="13" t="s">
        <v>308</v>
      </c>
      <c r="E35" s="13" t="s">
        <v>96</v>
      </c>
      <c r="F35" s="60" t="s">
        <v>327</v>
      </c>
      <c r="G35" s="13" t="s">
        <v>369</v>
      </c>
      <c r="H35" s="13" t="s">
        <v>309</v>
      </c>
      <c r="I35" s="13" t="s">
        <v>310</v>
      </c>
      <c r="J35" s="13" t="s">
        <v>311</v>
      </c>
      <c r="K35" s="13" t="s">
        <v>97</v>
      </c>
      <c r="L35" s="14" t="s">
        <v>301</v>
      </c>
      <c r="M35" s="61" t="s">
        <v>286</v>
      </c>
      <c r="N35" s="61" t="s">
        <v>286</v>
      </c>
      <c r="O35" s="52" t="s">
        <v>286</v>
      </c>
      <c r="P35" s="15" t="s">
        <v>286</v>
      </c>
      <c r="Q35" s="15" t="s">
        <v>359</v>
      </c>
      <c r="R35" s="15" t="s">
        <v>286</v>
      </c>
      <c r="S35" s="56">
        <v>0.3</v>
      </c>
      <c r="T35" s="14">
        <f t="shared" si="0"/>
        <v>174</v>
      </c>
      <c r="U35" s="14">
        <f t="shared" si="1"/>
        <v>522</v>
      </c>
      <c r="V35" s="56">
        <f t="shared" si="2"/>
        <v>0.3</v>
      </c>
      <c r="W35" s="14">
        <f t="shared" si="3"/>
        <v>174</v>
      </c>
      <c r="X35" s="14">
        <f t="shared" si="4"/>
        <v>522</v>
      </c>
      <c r="Y35" s="16" t="e">
        <f t="shared" si="5"/>
        <v>#VALUE!</v>
      </c>
      <c r="Z35" s="16" t="e">
        <f t="shared" si="6"/>
        <v>#VALUE!</v>
      </c>
      <c r="AA35" s="14">
        <v>580</v>
      </c>
      <c r="AB35" s="14">
        <v>174</v>
      </c>
      <c r="AC35" s="13" t="s">
        <v>160</v>
      </c>
      <c r="AD35" s="13" t="s">
        <v>312</v>
      </c>
      <c r="AE35" s="57">
        <f t="shared" si="7"/>
        <v>0.03</v>
      </c>
      <c r="AF35" s="57">
        <f t="shared" si="8"/>
        <v>0</v>
      </c>
      <c r="AG35" s="57">
        <f t="shared" si="9"/>
        <v>2.4E-2</v>
      </c>
      <c r="AH35" s="57">
        <v>0.3</v>
      </c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7">
        <v>0</v>
      </c>
      <c r="AO35" s="57">
        <v>0</v>
      </c>
      <c r="AP35" s="57">
        <v>0</v>
      </c>
      <c r="AQ35" s="57">
        <v>0</v>
      </c>
      <c r="AR35" s="57">
        <v>0</v>
      </c>
      <c r="AS35" s="57">
        <v>0</v>
      </c>
      <c r="AT35" s="57">
        <v>0</v>
      </c>
      <c r="AU35" s="57">
        <v>0</v>
      </c>
      <c r="AV35" s="57">
        <v>0</v>
      </c>
      <c r="AW35" s="57">
        <v>0</v>
      </c>
      <c r="AX35" s="57">
        <v>0</v>
      </c>
      <c r="AY35" s="57">
        <v>0</v>
      </c>
      <c r="AZ35" s="68" t="s">
        <v>332</v>
      </c>
      <c r="BA35" s="68" t="s">
        <v>332</v>
      </c>
      <c r="BB35" s="68" t="s">
        <v>332</v>
      </c>
      <c r="BC35" s="68" t="s">
        <v>332</v>
      </c>
      <c r="BD35" s="68" t="s">
        <v>332</v>
      </c>
      <c r="BE35" s="68" t="s">
        <v>332</v>
      </c>
      <c r="BF35" s="68" t="s">
        <v>332</v>
      </c>
      <c r="BG35" s="68" t="s">
        <v>332</v>
      </c>
      <c r="BH35" s="68" t="s">
        <v>332</v>
      </c>
      <c r="BI35" s="68" t="s">
        <v>332</v>
      </c>
      <c r="BJ35" s="68" t="s">
        <v>332</v>
      </c>
      <c r="BK35" s="68" t="s">
        <v>332</v>
      </c>
      <c r="BL35" s="68" t="s">
        <v>332</v>
      </c>
      <c r="BM35" s="68" t="s">
        <v>332</v>
      </c>
      <c r="BN35" s="68" t="s">
        <v>332</v>
      </c>
      <c r="BO35" s="68" t="s">
        <v>332</v>
      </c>
      <c r="BP35" s="68" t="s">
        <v>332</v>
      </c>
      <c r="BQ35" s="68" t="s">
        <v>332</v>
      </c>
    </row>
    <row r="36" spans="1:69" x14ac:dyDescent="0.25">
      <c r="A36" s="13">
        <v>40</v>
      </c>
      <c r="B36" s="13">
        <v>35</v>
      </c>
      <c r="C36" s="62" t="s">
        <v>313</v>
      </c>
      <c r="D36" s="13" t="s">
        <v>313</v>
      </c>
      <c r="E36" s="13" t="s">
        <v>35</v>
      </c>
      <c r="F36" s="13" t="s">
        <v>155</v>
      </c>
      <c r="G36" s="13" t="s">
        <v>369</v>
      </c>
      <c r="H36" s="13" t="s">
        <v>162</v>
      </c>
      <c r="I36" s="13" t="s">
        <v>314</v>
      </c>
      <c r="J36" s="60" t="s">
        <v>325</v>
      </c>
      <c r="K36" s="60" t="s">
        <v>335</v>
      </c>
      <c r="L36" s="14" t="s">
        <v>301</v>
      </c>
      <c r="M36" s="61" t="s">
        <v>286</v>
      </c>
      <c r="N36" s="61" t="s">
        <v>286</v>
      </c>
      <c r="O36" s="52" t="s">
        <v>286</v>
      </c>
      <c r="P36" s="15" t="s">
        <v>286</v>
      </c>
      <c r="Q36" s="15" t="s">
        <v>359</v>
      </c>
      <c r="R36" s="15" t="s">
        <v>286</v>
      </c>
      <c r="S36" s="56">
        <v>0.3</v>
      </c>
      <c r="T36" s="14">
        <f t="shared" si="0"/>
        <v>35.1</v>
      </c>
      <c r="U36" s="14">
        <f t="shared" si="1"/>
        <v>105.30000000000001</v>
      </c>
      <c r="V36" s="56">
        <f t="shared" si="2"/>
        <v>0.3</v>
      </c>
      <c r="W36" s="14">
        <f t="shared" si="3"/>
        <v>35.1</v>
      </c>
      <c r="X36" s="14">
        <f t="shared" si="4"/>
        <v>105.30000000000001</v>
      </c>
      <c r="Y36" s="16" t="e">
        <f t="shared" si="5"/>
        <v>#VALUE!</v>
      </c>
      <c r="Z36" s="16" t="e">
        <f t="shared" si="6"/>
        <v>#VALUE!</v>
      </c>
      <c r="AA36" s="14">
        <v>117</v>
      </c>
      <c r="AB36" s="14">
        <v>35.1</v>
      </c>
      <c r="AC36" s="13" t="s">
        <v>160</v>
      </c>
      <c r="AD36" s="13" t="s">
        <v>36</v>
      </c>
      <c r="AE36" s="57">
        <f t="shared" si="7"/>
        <v>0.83000000000000007</v>
      </c>
      <c r="AF36" s="57">
        <f t="shared" si="8"/>
        <v>0.83000000000000007</v>
      </c>
      <c r="AG36" s="57">
        <f t="shared" si="9"/>
        <v>0.83000000000000018</v>
      </c>
      <c r="AH36" s="57">
        <v>1</v>
      </c>
      <c r="AI36" s="57">
        <v>1</v>
      </c>
      <c r="AJ36" s="57">
        <v>1</v>
      </c>
      <c r="AK36" s="57">
        <v>0.9</v>
      </c>
      <c r="AL36" s="57">
        <v>0.9</v>
      </c>
      <c r="AM36" s="57">
        <v>1</v>
      </c>
      <c r="AN36" s="57">
        <v>1</v>
      </c>
      <c r="AO36" s="57">
        <v>0.8</v>
      </c>
      <c r="AP36" s="57">
        <v>0.8</v>
      </c>
      <c r="AQ36" s="57">
        <v>1</v>
      </c>
      <c r="AR36" s="57">
        <v>0.8</v>
      </c>
      <c r="AS36" s="57">
        <v>0.8</v>
      </c>
      <c r="AT36" s="57">
        <v>0.5</v>
      </c>
      <c r="AU36" s="57">
        <v>0.5</v>
      </c>
      <c r="AV36" s="57">
        <v>0.5</v>
      </c>
      <c r="AW36" s="57">
        <v>0.5</v>
      </c>
      <c r="AX36" s="57">
        <v>0</v>
      </c>
      <c r="AY36" s="57">
        <v>0</v>
      </c>
      <c r="AZ36" s="58" t="s">
        <v>8</v>
      </c>
      <c r="BA36" s="58" t="s">
        <v>8</v>
      </c>
      <c r="BB36" s="59" t="s">
        <v>333</v>
      </c>
      <c r="BC36" s="59" t="s">
        <v>332</v>
      </c>
      <c r="BD36" s="59" t="s">
        <v>332</v>
      </c>
      <c r="BE36" s="59" t="s">
        <v>7</v>
      </c>
      <c r="BF36" s="59" t="s">
        <v>7</v>
      </c>
      <c r="BG36" s="59" t="s">
        <v>333</v>
      </c>
      <c r="BH36" s="59" t="s">
        <v>333</v>
      </c>
      <c r="BI36" s="59" t="s">
        <v>7</v>
      </c>
      <c r="BJ36" s="59" t="s">
        <v>333</v>
      </c>
      <c r="BK36" s="59" t="s">
        <v>333</v>
      </c>
      <c r="BL36" s="59" t="s">
        <v>334</v>
      </c>
      <c r="BM36" s="59" t="s">
        <v>334</v>
      </c>
      <c r="BN36" s="59" t="s">
        <v>334</v>
      </c>
      <c r="BO36" s="59" t="s">
        <v>334</v>
      </c>
      <c r="BP36" s="59" t="s">
        <v>332</v>
      </c>
      <c r="BQ36" s="59" t="s">
        <v>332</v>
      </c>
    </row>
    <row r="37" spans="1:69" x14ac:dyDescent="0.25">
      <c r="A37" s="2">
        <v>7</v>
      </c>
      <c r="B37" s="2">
        <v>36</v>
      </c>
      <c r="C37" s="2" t="s">
        <v>161</v>
      </c>
      <c r="D37" s="2" t="s">
        <v>161</v>
      </c>
      <c r="E37" s="2" t="s">
        <v>98</v>
      </c>
      <c r="F37" s="2" t="s">
        <v>155</v>
      </c>
      <c r="G37" s="2" t="s">
        <v>369</v>
      </c>
      <c r="H37" s="2" t="s">
        <v>162</v>
      </c>
      <c r="I37" s="2" t="s">
        <v>163</v>
      </c>
      <c r="J37" s="2" t="s">
        <v>164</v>
      </c>
      <c r="K37" s="2" t="s">
        <v>336</v>
      </c>
      <c r="L37" s="3">
        <v>3</v>
      </c>
      <c r="M37" s="50">
        <v>46376</v>
      </c>
      <c r="N37" s="50">
        <v>47088</v>
      </c>
      <c r="O37" s="50">
        <v>46216</v>
      </c>
      <c r="P37" s="4">
        <v>764221135</v>
      </c>
      <c r="Q37" s="4" t="s">
        <v>359</v>
      </c>
      <c r="R37" s="2" t="s">
        <v>159</v>
      </c>
      <c r="S37" s="5">
        <v>0.3</v>
      </c>
      <c r="T37" s="3">
        <f t="shared" si="0"/>
        <v>140.4</v>
      </c>
      <c r="U37" s="3">
        <f t="shared" si="1"/>
        <v>421.20000000000005</v>
      </c>
      <c r="V37" s="5">
        <f t="shared" si="2"/>
        <v>0.3</v>
      </c>
      <c r="W37" s="3">
        <f t="shared" si="3"/>
        <v>140.4</v>
      </c>
      <c r="X37" s="3">
        <f t="shared" si="4"/>
        <v>421.20000000000005</v>
      </c>
      <c r="Y37" s="4">
        <f t="shared" si="5"/>
        <v>1632951.1431623932</v>
      </c>
      <c r="Z37" s="4">
        <f t="shared" si="6"/>
        <v>5443170.4772079773</v>
      </c>
      <c r="AA37" s="3">
        <v>468</v>
      </c>
      <c r="AB37" s="3">
        <v>140.4</v>
      </c>
      <c r="AC37" s="2" t="s">
        <v>160</v>
      </c>
      <c r="AD37" s="2" t="s">
        <v>36</v>
      </c>
      <c r="AE37" s="6">
        <f t="shared" si="7"/>
        <v>0.33500000000000008</v>
      </c>
      <c r="AF37" s="6">
        <f t="shared" si="8"/>
        <v>0.25</v>
      </c>
      <c r="AG37" s="6">
        <f t="shared" si="9"/>
        <v>0.31800000000000006</v>
      </c>
      <c r="AH37" s="6">
        <v>0.6</v>
      </c>
      <c r="AI37" s="6">
        <v>0.5</v>
      </c>
      <c r="AJ37" s="6">
        <v>1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1</v>
      </c>
      <c r="AR37" s="6">
        <v>0.5</v>
      </c>
      <c r="AS37" s="6">
        <v>0</v>
      </c>
      <c r="AT37" s="6">
        <v>0.5</v>
      </c>
      <c r="AU37" s="6">
        <v>0</v>
      </c>
      <c r="AV37" s="6">
        <v>0.5</v>
      </c>
      <c r="AW37" s="6">
        <v>0</v>
      </c>
      <c r="AX37" s="6">
        <v>0</v>
      </c>
      <c r="AY37" s="6">
        <v>0</v>
      </c>
      <c r="AZ37" s="67" t="s">
        <v>332</v>
      </c>
      <c r="BA37" s="67" t="s">
        <v>332</v>
      </c>
      <c r="BB37" s="67" t="s">
        <v>8</v>
      </c>
      <c r="BC37" s="67" t="s">
        <v>332</v>
      </c>
      <c r="BD37" s="67" t="s">
        <v>332</v>
      </c>
      <c r="BE37" s="67" t="s">
        <v>332</v>
      </c>
      <c r="BF37" s="67" t="s">
        <v>332</v>
      </c>
      <c r="BG37" s="67" t="s">
        <v>332</v>
      </c>
      <c r="BH37" s="67" t="s">
        <v>332</v>
      </c>
      <c r="BI37" s="67" t="s">
        <v>7</v>
      </c>
      <c r="BJ37" s="67" t="s">
        <v>334</v>
      </c>
      <c r="BK37" s="67" t="s">
        <v>332</v>
      </c>
      <c r="BL37" s="67" t="s">
        <v>334</v>
      </c>
      <c r="BM37" s="67" t="s">
        <v>334</v>
      </c>
      <c r="BN37" s="67" t="s">
        <v>334</v>
      </c>
      <c r="BO37" s="67" t="s">
        <v>334</v>
      </c>
      <c r="BP37" s="67" t="s">
        <v>332</v>
      </c>
      <c r="BQ37" s="67" t="s">
        <v>332</v>
      </c>
    </row>
    <row r="38" spans="1:69" x14ac:dyDescent="0.25">
      <c r="A38" s="2">
        <v>26</v>
      </c>
      <c r="B38" s="2">
        <v>37</v>
      </c>
      <c r="C38" s="2" t="s">
        <v>258</v>
      </c>
      <c r="D38" s="2" t="s">
        <v>258</v>
      </c>
      <c r="E38" s="2" t="s">
        <v>37</v>
      </c>
      <c r="F38" s="2" t="s">
        <v>155</v>
      </c>
      <c r="G38" s="2" t="s">
        <v>369</v>
      </c>
      <c r="H38" s="2" t="s">
        <v>259</v>
      </c>
      <c r="I38" s="2" t="s">
        <v>260</v>
      </c>
      <c r="J38" s="2" t="s">
        <v>261</v>
      </c>
      <c r="K38" s="2" t="s">
        <v>39</v>
      </c>
      <c r="L38" s="3">
        <v>3</v>
      </c>
      <c r="M38" s="50">
        <v>46371</v>
      </c>
      <c r="N38" s="50">
        <v>47088</v>
      </c>
      <c r="O38" s="50">
        <v>46216</v>
      </c>
      <c r="P38" s="4">
        <v>318435063</v>
      </c>
      <c r="Q38" s="4" t="s">
        <v>358</v>
      </c>
      <c r="R38" s="2" t="s">
        <v>262</v>
      </c>
      <c r="S38" s="5">
        <v>0.3</v>
      </c>
      <c r="T38" s="3">
        <f t="shared" si="0"/>
        <v>51.3</v>
      </c>
      <c r="U38" s="3">
        <f t="shared" si="1"/>
        <v>153.89999999999998</v>
      </c>
      <c r="V38" s="5">
        <f t="shared" si="2"/>
        <v>0.3</v>
      </c>
      <c r="W38" s="3">
        <f t="shared" si="3"/>
        <v>51.3</v>
      </c>
      <c r="X38" s="3">
        <f t="shared" si="4"/>
        <v>153.89999999999998</v>
      </c>
      <c r="Y38" s="4">
        <f t="shared" si="5"/>
        <v>1862193.350877193</v>
      </c>
      <c r="Z38" s="4">
        <f t="shared" si="6"/>
        <v>6207311.1695906436</v>
      </c>
      <c r="AA38" s="3">
        <v>171</v>
      </c>
      <c r="AB38" s="3">
        <v>51.3</v>
      </c>
      <c r="AC38" s="2" t="s">
        <v>160</v>
      </c>
      <c r="AD38" s="2" t="s">
        <v>38</v>
      </c>
      <c r="AE38" s="6">
        <f t="shared" si="7"/>
        <v>0.8550000000000002</v>
      </c>
      <c r="AF38" s="6">
        <f t="shared" si="8"/>
        <v>0.8550000000000002</v>
      </c>
      <c r="AG38" s="6">
        <f t="shared" si="9"/>
        <v>0.8550000000000002</v>
      </c>
      <c r="AH38" s="6">
        <v>1</v>
      </c>
      <c r="AI38" s="6">
        <v>1</v>
      </c>
      <c r="AJ38" s="6">
        <v>0.9</v>
      </c>
      <c r="AK38" s="6">
        <v>0.9</v>
      </c>
      <c r="AL38" s="6">
        <v>0.9</v>
      </c>
      <c r="AM38" s="6">
        <v>0.8</v>
      </c>
      <c r="AN38" s="6">
        <v>0.8</v>
      </c>
      <c r="AO38" s="6">
        <v>0.8</v>
      </c>
      <c r="AP38" s="6">
        <v>0.8</v>
      </c>
      <c r="AQ38" s="6">
        <v>1</v>
      </c>
      <c r="AR38" s="6">
        <v>0.9</v>
      </c>
      <c r="AS38" s="6">
        <v>0.9</v>
      </c>
      <c r="AT38" s="6">
        <v>1</v>
      </c>
      <c r="AU38" s="6">
        <v>1</v>
      </c>
      <c r="AV38" s="6">
        <v>0.5</v>
      </c>
      <c r="AW38" s="6">
        <v>0.5</v>
      </c>
      <c r="AX38" s="6">
        <v>0.5</v>
      </c>
      <c r="AY38" s="6">
        <v>0.5</v>
      </c>
      <c r="AZ38" s="54" t="s">
        <v>8</v>
      </c>
      <c r="BA38" s="54" t="s">
        <v>8</v>
      </c>
      <c r="BB38" s="55" t="s">
        <v>333</v>
      </c>
      <c r="BC38" s="55" t="s">
        <v>333</v>
      </c>
      <c r="BD38" s="55" t="s">
        <v>333</v>
      </c>
      <c r="BE38" s="55" t="s">
        <v>334</v>
      </c>
      <c r="BF38" s="67" t="s">
        <v>334</v>
      </c>
      <c r="BG38" s="67" t="s">
        <v>333</v>
      </c>
      <c r="BH38" s="67" t="s">
        <v>333</v>
      </c>
      <c r="BI38" s="55" t="s">
        <v>7</v>
      </c>
      <c r="BJ38" s="55" t="s">
        <v>334</v>
      </c>
      <c r="BK38" s="55" t="s">
        <v>334</v>
      </c>
      <c r="BL38" s="55" t="s">
        <v>8</v>
      </c>
      <c r="BM38" s="67" t="s">
        <v>8</v>
      </c>
      <c r="BN38" s="55" t="s">
        <v>334</v>
      </c>
      <c r="BO38" s="55" t="s">
        <v>334</v>
      </c>
      <c r="BP38" s="55" t="s">
        <v>334</v>
      </c>
      <c r="BQ38" s="55" t="s">
        <v>334</v>
      </c>
    </row>
    <row r="39" spans="1:69" x14ac:dyDescent="0.25">
      <c r="A39" s="2">
        <v>27</v>
      </c>
      <c r="B39" s="2">
        <v>38</v>
      </c>
      <c r="C39" s="2" t="s">
        <v>263</v>
      </c>
      <c r="D39" s="2" t="s">
        <v>263</v>
      </c>
      <c r="E39" s="2" t="s">
        <v>99</v>
      </c>
      <c r="F39" s="2" t="s">
        <v>155</v>
      </c>
      <c r="G39" s="2" t="s">
        <v>369</v>
      </c>
      <c r="H39" s="2" t="s">
        <v>156</v>
      </c>
      <c r="I39" s="2" t="s">
        <v>264</v>
      </c>
      <c r="J39" s="2" t="s">
        <v>265</v>
      </c>
      <c r="K39" s="2" t="s">
        <v>101</v>
      </c>
      <c r="L39" s="3">
        <v>3</v>
      </c>
      <c r="M39" s="50">
        <v>46376</v>
      </c>
      <c r="N39" s="50">
        <v>47088</v>
      </c>
      <c r="O39" s="50">
        <v>46216</v>
      </c>
      <c r="P39" s="4">
        <v>889889834.79999995</v>
      </c>
      <c r="Q39" s="4" t="s">
        <v>359</v>
      </c>
      <c r="R39" s="2" t="s">
        <v>262</v>
      </c>
      <c r="S39" s="5">
        <v>0.3</v>
      </c>
      <c r="T39" s="3">
        <f t="shared" si="0"/>
        <v>153</v>
      </c>
      <c r="U39" s="3">
        <f t="shared" si="1"/>
        <v>459</v>
      </c>
      <c r="V39" s="5">
        <f t="shared" si="2"/>
        <v>0.3</v>
      </c>
      <c r="W39" s="3">
        <f t="shared" si="3"/>
        <v>153</v>
      </c>
      <c r="X39" s="3">
        <f t="shared" si="4"/>
        <v>459</v>
      </c>
      <c r="Y39" s="4">
        <f t="shared" si="5"/>
        <v>1744882.0290196077</v>
      </c>
      <c r="Z39" s="4">
        <f t="shared" si="6"/>
        <v>5816273.430065359</v>
      </c>
      <c r="AA39" s="3">
        <v>510</v>
      </c>
      <c r="AB39" s="3">
        <v>153</v>
      </c>
      <c r="AC39" s="2" t="s">
        <v>160</v>
      </c>
      <c r="AD39" s="2" t="s">
        <v>100</v>
      </c>
      <c r="AE39" s="6">
        <f t="shared" si="7"/>
        <v>0.44000000000000006</v>
      </c>
      <c r="AF39" s="6">
        <f t="shared" si="8"/>
        <v>0.25</v>
      </c>
      <c r="AG39" s="6">
        <f t="shared" si="9"/>
        <v>0.40200000000000008</v>
      </c>
      <c r="AH39" s="6">
        <v>0.9</v>
      </c>
      <c r="AI39" s="6">
        <v>0.5</v>
      </c>
      <c r="AJ39" s="6">
        <v>1</v>
      </c>
      <c r="AK39" s="6">
        <v>0.5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1</v>
      </c>
      <c r="AR39" s="6">
        <v>0.5</v>
      </c>
      <c r="AS39" s="6">
        <v>0</v>
      </c>
      <c r="AT39" s="6">
        <v>0.5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7" t="s">
        <v>332</v>
      </c>
      <c r="BA39" s="67" t="s">
        <v>332</v>
      </c>
      <c r="BB39" s="67" t="s">
        <v>8</v>
      </c>
      <c r="BC39" s="67" t="s">
        <v>334</v>
      </c>
      <c r="BD39" s="67" t="s">
        <v>332</v>
      </c>
      <c r="BE39" s="67" t="s">
        <v>332</v>
      </c>
      <c r="BF39" s="67" t="s">
        <v>332</v>
      </c>
      <c r="BG39" s="67" t="s">
        <v>332</v>
      </c>
      <c r="BH39" s="67" t="s">
        <v>332</v>
      </c>
      <c r="BI39" s="67" t="s">
        <v>7</v>
      </c>
      <c r="BJ39" s="67" t="s">
        <v>334</v>
      </c>
      <c r="BK39" s="67" t="s">
        <v>334</v>
      </c>
      <c r="BL39" s="67" t="s">
        <v>332</v>
      </c>
      <c r="BM39" s="67" t="s">
        <v>332</v>
      </c>
      <c r="BN39" s="67" t="s">
        <v>332</v>
      </c>
      <c r="BO39" s="67" t="s">
        <v>332</v>
      </c>
      <c r="BP39" s="67" t="s">
        <v>332</v>
      </c>
      <c r="BQ39" s="67" t="s">
        <v>332</v>
      </c>
    </row>
    <row r="40" spans="1:69" x14ac:dyDescent="0.25">
      <c r="A40" s="2">
        <v>6</v>
      </c>
      <c r="B40" s="2">
        <v>39</v>
      </c>
      <c r="C40" s="2" t="s">
        <v>154</v>
      </c>
      <c r="D40" s="2" t="s">
        <v>154</v>
      </c>
      <c r="E40" s="2" t="s">
        <v>102</v>
      </c>
      <c r="F40" s="2" t="s">
        <v>155</v>
      </c>
      <c r="G40" s="2" t="s">
        <v>369</v>
      </c>
      <c r="H40" s="2" t="s">
        <v>156</v>
      </c>
      <c r="I40" s="2" t="s">
        <v>157</v>
      </c>
      <c r="J40" s="2" t="s">
        <v>158</v>
      </c>
      <c r="K40" s="2" t="s">
        <v>103</v>
      </c>
      <c r="L40" s="3">
        <v>3</v>
      </c>
      <c r="M40" s="50">
        <v>46376</v>
      </c>
      <c r="N40" s="50">
        <v>47088</v>
      </c>
      <c r="O40" s="50">
        <v>46216</v>
      </c>
      <c r="P40" s="4">
        <v>800323710.20000005</v>
      </c>
      <c r="Q40" s="4" t="s">
        <v>359</v>
      </c>
      <c r="R40" s="2" t="s">
        <v>159</v>
      </c>
      <c r="S40" s="5">
        <v>0.3</v>
      </c>
      <c r="T40" s="3">
        <f t="shared" si="0"/>
        <v>150.9</v>
      </c>
      <c r="U40" s="3">
        <f t="shared" si="1"/>
        <v>452.70000000000005</v>
      </c>
      <c r="V40" s="5">
        <f t="shared" si="2"/>
        <v>0.30019880715705766</v>
      </c>
      <c r="W40" s="3">
        <f t="shared" si="3"/>
        <v>151</v>
      </c>
      <c r="X40" s="3">
        <f t="shared" si="4"/>
        <v>453</v>
      </c>
      <c r="Y40" s="4">
        <f t="shared" si="5"/>
        <v>1591100.8155069584</v>
      </c>
      <c r="Z40" s="4">
        <f t="shared" si="6"/>
        <v>5300157.0211920533</v>
      </c>
      <c r="AA40" s="3">
        <v>503</v>
      </c>
      <c r="AB40" s="3">
        <v>151</v>
      </c>
      <c r="AC40" s="2" t="s">
        <v>160</v>
      </c>
      <c r="AD40" s="2" t="s">
        <v>100</v>
      </c>
      <c r="AE40" s="6">
        <f t="shared" si="7"/>
        <v>0.55500000000000005</v>
      </c>
      <c r="AF40" s="6">
        <f t="shared" si="8"/>
        <v>0.27500000000000002</v>
      </c>
      <c r="AG40" s="6">
        <f t="shared" si="9"/>
        <v>0.49900000000000005</v>
      </c>
      <c r="AH40" s="6">
        <v>0.8</v>
      </c>
      <c r="AI40" s="6">
        <v>0.5</v>
      </c>
      <c r="AJ40" s="6">
        <v>1</v>
      </c>
      <c r="AK40" s="6">
        <v>0.5</v>
      </c>
      <c r="AL40" s="6">
        <v>0</v>
      </c>
      <c r="AM40" s="6">
        <v>0</v>
      </c>
      <c r="AN40" s="6">
        <v>0</v>
      </c>
      <c r="AO40" s="6">
        <v>0.5</v>
      </c>
      <c r="AP40" s="6">
        <v>0</v>
      </c>
      <c r="AQ40" s="6">
        <v>1</v>
      </c>
      <c r="AR40" s="6">
        <v>0.5</v>
      </c>
      <c r="AS40" s="6">
        <v>0</v>
      </c>
      <c r="AT40" s="6">
        <v>0.5</v>
      </c>
      <c r="AU40" s="6">
        <v>0</v>
      </c>
      <c r="AV40" s="6">
        <v>0.5</v>
      </c>
      <c r="AW40" s="6">
        <v>0.5</v>
      </c>
      <c r="AX40" s="6">
        <v>0</v>
      </c>
      <c r="AY40" s="6">
        <v>0</v>
      </c>
      <c r="AZ40" s="67" t="s">
        <v>332</v>
      </c>
      <c r="BA40" s="67" t="s">
        <v>332</v>
      </c>
      <c r="BB40" s="67" t="s">
        <v>8</v>
      </c>
      <c r="BC40" s="67" t="s">
        <v>334</v>
      </c>
      <c r="BD40" s="67" t="s">
        <v>332</v>
      </c>
      <c r="BE40" s="67" t="s">
        <v>332</v>
      </c>
      <c r="BF40" s="67" t="s">
        <v>332</v>
      </c>
      <c r="BG40" s="67" t="s">
        <v>334</v>
      </c>
      <c r="BH40" s="67" t="s">
        <v>332</v>
      </c>
      <c r="BI40" s="67" t="s">
        <v>7</v>
      </c>
      <c r="BJ40" s="67" t="s">
        <v>334</v>
      </c>
      <c r="BK40" s="67" t="s">
        <v>332</v>
      </c>
      <c r="BL40" s="67" t="s">
        <v>334</v>
      </c>
      <c r="BM40" s="67" t="s">
        <v>332</v>
      </c>
      <c r="BN40" s="67" t="s">
        <v>334</v>
      </c>
      <c r="BO40" s="67" t="s">
        <v>334</v>
      </c>
      <c r="BP40" s="67" t="s">
        <v>332</v>
      </c>
      <c r="BQ40" s="67" t="s">
        <v>332</v>
      </c>
    </row>
    <row r="41" spans="1:69" x14ac:dyDescent="0.25">
      <c r="A41" s="2">
        <v>28</v>
      </c>
      <c r="B41" s="2">
        <v>40</v>
      </c>
      <c r="C41" s="2" t="s">
        <v>266</v>
      </c>
      <c r="D41" s="2" t="s">
        <v>266</v>
      </c>
      <c r="E41" s="2" t="s">
        <v>32</v>
      </c>
      <c r="F41" s="2" t="s">
        <v>155</v>
      </c>
      <c r="G41" s="2" t="s">
        <v>368</v>
      </c>
      <c r="H41" s="2" t="s">
        <v>267</v>
      </c>
      <c r="I41" s="2" t="s">
        <v>268</v>
      </c>
      <c r="J41" s="2" t="s">
        <v>269</v>
      </c>
      <c r="K41" s="2" t="s">
        <v>34</v>
      </c>
      <c r="L41" s="3">
        <v>3</v>
      </c>
      <c r="M41" s="50">
        <v>46357</v>
      </c>
      <c r="N41" s="50">
        <v>46844</v>
      </c>
      <c r="O41" s="50">
        <v>46216</v>
      </c>
      <c r="P41" s="4">
        <v>66887790</v>
      </c>
      <c r="Q41" s="4" t="s">
        <v>358</v>
      </c>
      <c r="R41" s="2" t="s">
        <v>262</v>
      </c>
      <c r="S41" s="5">
        <v>0.3</v>
      </c>
      <c r="T41" s="3">
        <f t="shared" si="0"/>
        <v>21</v>
      </c>
      <c r="U41" s="3">
        <f t="shared" si="1"/>
        <v>63</v>
      </c>
      <c r="V41" s="5">
        <f t="shared" si="2"/>
        <v>0.31428571428571428</v>
      </c>
      <c r="W41" s="3">
        <f t="shared" si="3"/>
        <v>22</v>
      </c>
      <c r="X41" s="3">
        <f t="shared" si="4"/>
        <v>66</v>
      </c>
      <c r="Y41" s="4">
        <f t="shared" si="5"/>
        <v>955539.85714285716</v>
      </c>
      <c r="Z41" s="4">
        <f t="shared" si="6"/>
        <v>3040354.0909090908</v>
      </c>
      <c r="AA41" s="3">
        <v>70</v>
      </c>
      <c r="AB41" s="3">
        <v>22</v>
      </c>
      <c r="AC41" s="2" t="s">
        <v>138</v>
      </c>
      <c r="AD41" s="2" t="s">
        <v>33</v>
      </c>
      <c r="AE41" s="6">
        <f t="shared" si="7"/>
        <v>0.82000000000000017</v>
      </c>
      <c r="AF41" s="6">
        <f t="shared" si="8"/>
        <v>0.82000000000000017</v>
      </c>
      <c r="AG41" s="6">
        <f t="shared" si="9"/>
        <v>0.82000000000000017</v>
      </c>
      <c r="AH41" s="6">
        <v>1</v>
      </c>
      <c r="AI41" s="6">
        <v>1</v>
      </c>
      <c r="AJ41" s="6">
        <v>1</v>
      </c>
      <c r="AK41" s="6">
        <v>0.8</v>
      </c>
      <c r="AL41" s="6">
        <v>0.8</v>
      </c>
      <c r="AM41" s="6">
        <v>0.8</v>
      </c>
      <c r="AN41" s="6">
        <v>0.8</v>
      </c>
      <c r="AO41" s="6">
        <v>0.8</v>
      </c>
      <c r="AP41" s="6">
        <v>0.8</v>
      </c>
      <c r="AQ41" s="6">
        <v>1</v>
      </c>
      <c r="AR41" s="6">
        <v>0.9</v>
      </c>
      <c r="AS41" s="6">
        <v>0.9</v>
      </c>
      <c r="AT41" s="6">
        <v>0.5</v>
      </c>
      <c r="AU41" s="6">
        <v>0.5</v>
      </c>
      <c r="AV41" s="6">
        <v>0.5</v>
      </c>
      <c r="AW41" s="6">
        <v>0.5</v>
      </c>
      <c r="AX41" s="6">
        <v>0.5</v>
      </c>
      <c r="AY41" s="6">
        <v>0.5</v>
      </c>
      <c r="AZ41" s="54" t="s">
        <v>8</v>
      </c>
      <c r="BA41" s="54" t="s">
        <v>8</v>
      </c>
      <c r="BB41" s="55" t="s">
        <v>8</v>
      </c>
      <c r="BC41" s="55" t="s">
        <v>333</v>
      </c>
      <c r="BD41" s="55" t="s">
        <v>333</v>
      </c>
      <c r="BE41" s="55" t="s">
        <v>332</v>
      </c>
      <c r="BF41" s="55" t="s">
        <v>332</v>
      </c>
      <c r="BG41" s="55" t="s">
        <v>333</v>
      </c>
      <c r="BH41" s="55" t="s">
        <v>333</v>
      </c>
      <c r="BI41" s="55" t="s">
        <v>7</v>
      </c>
      <c r="BJ41" s="55" t="s">
        <v>333</v>
      </c>
      <c r="BK41" s="67" t="s">
        <v>333</v>
      </c>
      <c r="BL41" s="67" t="s">
        <v>332</v>
      </c>
      <c r="BM41" s="67" t="s">
        <v>332</v>
      </c>
      <c r="BN41" s="67" t="s">
        <v>332</v>
      </c>
      <c r="BO41" s="67" t="s">
        <v>332</v>
      </c>
      <c r="BP41" s="67" t="s">
        <v>332</v>
      </c>
      <c r="BQ41" s="67" t="s">
        <v>332</v>
      </c>
    </row>
    <row r="42" spans="1:69" ht="15.75" thickBot="1" x14ac:dyDescent="0.3">
      <c r="P42" s="19"/>
      <c r="Q42" s="19"/>
    </row>
    <row r="43" spans="1:69" x14ac:dyDescent="0.25">
      <c r="O43" s="21" t="s">
        <v>315</v>
      </c>
      <c r="P43" s="22">
        <f>SUM(P2:P35)</f>
        <v>5241151440.6999998</v>
      </c>
      <c r="Q43" s="38"/>
      <c r="R43" s="36" t="s">
        <v>331</v>
      </c>
    </row>
    <row r="44" spans="1:69" x14ac:dyDescent="0.25">
      <c r="O44" s="23" t="s">
        <v>316</v>
      </c>
      <c r="P44" s="24">
        <f>SUM(P2,P4,P5,P6,P9,P10,P11,P12,P13,P14,P15,P16,P17,P18,P20,P21,P22,P23,P24,P25,P26,P29,P30,P31,P33,P35)</f>
        <v>4325761243.3000002</v>
      </c>
      <c r="Q44" s="39"/>
      <c r="R44" s="35" t="s">
        <v>330</v>
      </c>
    </row>
    <row r="45" spans="1:69" ht="15.75" thickBot="1" x14ac:dyDescent="0.3">
      <c r="O45" s="25" t="s">
        <v>317</v>
      </c>
      <c r="P45" s="26">
        <f>SUM(P3,P7,P8,P19,P27,P28)</f>
        <v>671693311.20000005</v>
      </c>
      <c r="Q45" s="40"/>
      <c r="R45" s="27" t="s">
        <v>318</v>
      </c>
    </row>
    <row r="46" spans="1:69" ht="15.75" thickBot="1" x14ac:dyDescent="0.3"/>
    <row r="47" spans="1:69" x14ac:dyDescent="0.25">
      <c r="O47" s="21" t="s">
        <v>319</v>
      </c>
      <c r="P47" s="28">
        <f>AVERAGE(P2:P35)</f>
        <v>194116720.0259259</v>
      </c>
      <c r="Q47" s="41"/>
    </row>
    <row r="48" spans="1:69" x14ac:dyDescent="0.25">
      <c r="O48" s="23" t="s">
        <v>320</v>
      </c>
      <c r="P48" s="29">
        <f>AVERAGE(P2,P4,P5,P6,P9,P10,P11,P12,P13,P14,P15,P16,P17,P18,P20,P21,P22,P23,P24,P25,P26,P29,P30,P31,P33,P35)</f>
        <v>216288062.16500002</v>
      </c>
      <c r="Q48" s="41"/>
    </row>
    <row r="49" spans="15:17" ht="15.75" thickBot="1" x14ac:dyDescent="0.3">
      <c r="O49" s="25" t="s">
        <v>321</v>
      </c>
      <c r="P49" s="30">
        <f>AVERAGE(P3,P7,P8,P19,P27,P28)</f>
        <v>134338662.24000001</v>
      </c>
      <c r="Q49" s="41"/>
    </row>
    <row r="50" spans="15:17" ht="15.75" thickBot="1" x14ac:dyDescent="0.3"/>
    <row r="51" spans="15:17" x14ac:dyDescent="0.25">
      <c r="O51" s="21" t="s">
        <v>322</v>
      </c>
      <c r="P51" s="28" t="e">
        <f>AVERAGE(Y2:Y35)</f>
        <v>#VALUE!</v>
      </c>
      <c r="Q51" s="41"/>
    </row>
    <row r="52" spans="15:17" x14ac:dyDescent="0.25">
      <c r="O52" s="23" t="s">
        <v>323</v>
      </c>
      <c r="P52" s="29" t="e">
        <f>AVERAGE(Y2,Y4,Y5,Y6,Y9,Y10,Y11,Y12,Y13,Y14,Y15,Y16,Y17,Y18,Y20,Y21,Y22,Y23,Y24,Y25,Y26,Y29,Y30,Y31,Y33,Y35)</f>
        <v>#VALUE!</v>
      </c>
      <c r="Q52" s="41"/>
    </row>
    <row r="53" spans="15:17" ht="15.75" thickBot="1" x14ac:dyDescent="0.3">
      <c r="O53" s="25" t="s">
        <v>324</v>
      </c>
      <c r="P53" s="30" t="e">
        <f>AVERAGE(Y3,Y7,Y8,Y19,Y27,Y28)</f>
        <v>#VALUE!</v>
      </c>
      <c r="Q53" s="41"/>
    </row>
  </sheetData>
  <autoFilter ref="A1:BQ41" xr:uid="{782B78D9-47D9-4EBC-8BEA-A91BF1F0B98F}"/>
  <conditionalFormatting sqref="AZ1:BQ1">
    <cfRule type="containsText" dxfId="7" priority="1" operator="containsText" text="N/A">
      <formula>NOT(ISERROR(SEARCH("N/A",AZ1)))</formula>
    </cfRule>
    <cfRule type="containsText" dxfId="6" priority="2" operator="containsText" text="Liberado">
      <formula>NOT(ISERROR(SEARCH("Liberado",AZ1)))</formula>
    </cfRule>
    <cfRule type="containsText" dxfId="5" priority="3" operator="containsText" text="En dictaminación">
      <formula>NOT(ISERROR(SEARCH("En dictaminación",AZ1)))</formula>
    </cfRule>
    <cfRule type="containsText" dxfId="4" priority="4" operator="containsText" text="En actualización">
      <formula>NOT(ISERROR(SEARCH("En actualización",AZ1)))</formula>
    </cfRule>
    <cfRule type="containsText" dxfId="3" priority="5" operator="containsText" text="Requerimiento">
      <formula>NOT(ISERROR(SEARCH("Requerimiento",AZ1)))</formula>
    </cfRule>
    <cfRule type="containsText" dxfId="2" priority="6" operator="containsText" text="En evaluación">
      <formula>NOT(ISERROR(SEARCH("En evaluación",AZ1)))</formula>
    </cfRule>
    <cfRule type="containsText" dxfId="1" priority="7" operator="containsText" text="Pendiente">
      <formula>NOT(ISERROR(SEARCH("Pendiente",AZ1)))</formula>
    </cfRule>
    <cfRule type="containsText" dxfId="0" priority="8" operator="containsText" text="En elaboración">
      <formula>NOT(ISERROR(SEARCH("En elaboración",AZ1)))</formula>
    </cfRule>
  </conditionalFormatting>
  <pageMargins left="0.7" right="0.7" top="0.75" bottom="0.75" header="0.3" footer="0.3"/>
  <pageSetup orientation="portrait" verticalDpi="597" r:id="rId1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CAPEX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CPEL</dc:creator>
  <cp:keywords/>
  <dc:description/>
  <cp:lastModifiedBy>CRISTOFER MARTI HERNANDEZ AGUILAR</cp:lastModifiedBy>
  <cp:revision/>
  <cp:lastPrinted>2026-10-29T19:04:16Z</cp:lastPrinted>
  <dcterms:created xsi:type="dcterms:W3CDTF">2009-02-16T20:36:14Z</dcterms:created>
  <dcterms:modified xsi:type="dcterms:W3CDTF">2026-10-30T23:41:35Z</dcterms:modified>
  <cp:category/>
  <cp:contentStatus/>
</cp:coreProperties>
</file>