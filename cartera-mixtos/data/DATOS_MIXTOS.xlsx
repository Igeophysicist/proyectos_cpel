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PEL-PROYECTOS\MIXTOS\REUNIONES_SEMANALES_RESPALDO\"/>
    </mc:Choice>
  </mc:AlternateContent>
  <xr:revisionPtr revIDLastSave="0" documentId="13_ncr:1_{6A68E6ED-7BED-45B9-9A30-B9D1DB5D0EBB}" xr6:coauthVersionLast="47" xr6:coauthVersionMax="47" xr10:uidLastSave="{00000000-0000-0000-0000-000000000000}"/>
  <bookViews>
    <workbookView xWindow="-120" yWindow="-120" windowWidth="29040" windowHeight="15720" tabRatio="724" activeTab="1" xr2:uid="{00000000-000D-0000-FFFF-FFFF00000000}"/>
  </bookViews>
  <sheets>
    <sheet name="Resumen Ejecutivo" sheetId="116" r:id="rId1"/>
    <sheet name="Proyectos ok" sheetId="119" r:id="rId2"/>
    <sheet name="Base de Datos" sheetId="118" r:id="rId3"/>
    <sheet name="CAPEX" sheetId="120" state="hidden" r:id="rId4"/>
  </sheets>
  <definedNames>
    <definedName name="_xlnm._FilterDatabase" localSheetId="2" hidden="1">'Base de Datos'!$B$8:$AB$52</definedName>
    <definedName name="_xlnm._FilterDatabase" localSheetId="3" hidden="1">CAPEX!$A$1:$AX$1</definedName>
    <definedName name="_xlnm._FilterDatabase" localSheetId="0" hidden="1">'Resumen Ejecutivo'!$C$8:$M$8</definedName>
    <definedName name="_xlnm.Print_Area" localSheetId="2">'Base de Datos'!$A$1:$AH$53</definedName>
    <definedName name="_xlnm.Print_Area" localSheetId="1">'Proyectos ok'!$B$1:$W$40</definedName>
    <definedName name="_xlnm.Print_Area" localSheetId="0">'Resumen Ejecutivo'!$B$1:$P$51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20" l="1"/>
  <c r="T2" i="120" s="1"/>
  <c r="U2" i="120"/>
  <c r="V2" i="120" s="1"/>
  <c r="W2" i="120" s="1"/>
  <c r="X2" i="120"/>
  <c r="Y2" i="120"/>
  <c r="O49" i="120"/>
  <c r="O48" i="120"/>
  <c r="O47" i="120"/>
  <c r="O44" i="120"/>
  <c r="O43" i="120"/>
  <c r="Y34" i="120"/>
  <c r="X34" i="120"/>
  <c r="U34" i="120"/>
  <c r="V34" i="120" s="1"/>
  <c r="W34" i="120" s="1"/>
  <c r="S34" i="120"/>
  <c r="T34" i="120" s="1"/>
  <c r="U33" i="120"/>
  <c r="V33" i="120" s="1"/>
  <c r="W33" i="120" s="1"/>
  <c r="Y33" i="120"/>
  <c r="S33" i="120"/>
  <c r="T33" i="120" s="1"/>
  <c r="X33" i="120"/>
  <c r="O45" i="120"/>
  <c r="Y41" i="120"/>
  <c r="X41" i="120"/>
  <c r="U41" i="120"/>
  <c r="V41" i="120" s="1"/>
  <c r="W41" i="120" s="1"/>
  <c r="S41" i="120"/>
  <c r="T41" i="120" s="1"/>
  <c r="Y40" i="120"/>
  <c r="X40" i="120"/>
  <c r="U40" i="120"/>
  <c r="V40" i="120" s="1"/>
  <c r="W40" i="120" s="1"/>
  <c r="S40" i="120"/>
  <c r="T40" i="120" s="1"/>
  <c r="Y39" i="120"/>
  <c r="X39" i="120"/>
  <c r="U39" i="120"/>
  <c r="V39" i="120" s="1"/>
  <c r="W39" i="120" s="1"/>
  <c r="S39" i="120"/>
  <c r="T39" i="120" s="1"/>
  <c r="Y38" i="120"/>
  <c r="X38" i="120"/>
  <c r="U38" i="120"/>
  <c r="V38" i="120" s="1"/>
  <c r="W38" i="120" s="1"/>
  <c r="S38" i="120"/>
  <c r="T38" i="120" s="1"/>
  <c r="Y37" i="120"/>
  <c r="X37" i="120"/>
  <c r="U37" i="120"/>
  <c r="V37" i="120" s="1"/>
  <c r="W37" i="120" s="1"/>
  <c r="S37" i="120"/>
  <c r="T37" i="120" s="1"/>
  <c r="Y36" i="120"/>
  <c r="X36" i="120"/>
  <c r="U36" i="120"/>
  <c r="V36" i="120" s="1"/>
  <c r="W36" i="120" s="1"/>
  <c r="S36" i="120"/>
  <c r="T36" i="120" s="1"/>
  <c r="Y35" i="120"/>
  <c r="X35" i="120"/>
  <c r="U35" i="120"/>
  <c r="V35" i="120" s="1"/>
  <c r="W35" i="120" s="1"/>
  <c r="S35" i="120"/>
  <c r="T35" i="120" s="1"/>
  <c r="Y32" i="120"/>
  <c r="X32" i="120"/>
  <c r="U32" i="120"/>
  <c r="V32" i="120" s="1"/>
  <c r="W32" i="120" s="1"/>
  <c r="S32" i="120"/>
  <c r="T32" i="120" s="1"/>
  <c r="Y31" i="120"/>
  <c r="X31" i="120"/>
  <c r="U31" i="120"/>
  <c r="V31" i="120" s="1"/>
  <c r="W31" i="120" s="1"/>
  <c r="S31" i="120"/>
  <c r="T31" i="120" s="1"/>
  <c r="Y30" i="120"/>
  <c r="X30" i="120"/>
  <c r="U30" i="120"/>
  <c r="V30" i="120" s="1"/>
  <c r="W30" i="120" s="1"/>
  <c r="S30" i="120"/>
  <c r="T30" i="120" s="1"/>
  <c r="Y29" i="120"/>
  <c r="X29" i="120"/>
  <c r="U29" i="120"/>
  <c r="V29" i="120" s="1"/>
  <c r="W29" i="120" s="1"/>
  <c r="S29" i="120"/>
  <c r="T29" i="120" s="1"/>
  <c r="Y28" i="120"/>
  <c r="X28" i="120"/>
  <c r="U28" i="120"/>
  <c r="V28" i="120" s="1"/>
  <c r="W28" i="120" s="1"/>
  <c r="S28" i="120"/>
  <c r="T28" i="120" s="1"/>
  <c r="Y27" i="120"/>
  <c r="X27" i="120"/>
  <c r="U27" i="120"/>
  <c r="V27" i="120" s="1"/>
  <c r="W27" i="120" s="1"/>
  <c r="S27" i="120"/>
  <c r="T27" i="120" s="1"/>
  <c r="Y26" i="120"/>
  <c r="X26" i="120"/>
  <c r="U26" i="120"/>
  <c r="V26" i="120" s="1"/>
  <c r="W26" i="120" s="1"/>
  <c r="S26" i="120"/>
  <c r="T26" i="120" s="1"/>
  <c r="Y25" i="120"/>
  <c r="X25" i="120"/>
  <c r="U25" i="120"/>
  <c r="V25" i="120" s="1"/>
  <c r="W25" i="120" s="1"/>
  <c r="S25" i="120"/>
  <c r="T25" i="120" s="1"/>
  <c r="Y24" i="120"/>
  <c r="X24" i="120"/>
  <c r="U24" i="120"/>
  <c r="V24" i="120" s="1"/>
  <c r="W24" i="120" s="1"/>
  <c r="S24" i="120"/>
  <c r="T24" i="120" s="1"/>
  <c r="Y23" i="120"/>
  <c r="X23" i="120"/>
  <c r="U23" i="120"/>
  <c r="V23" i="120" s="1"/>
  <c r="W23" i="120" s="1"/>
  <c r="S23" i="120"/>
  <c r="T23" i="120" s="1"/>
  <c r="Y22" i="120"/>
  <c r="X22" i="120"/>
  <c r="U22" i="120"/>
  <c r="V22" i="120" s="1"/>
  <c r="W22" i="120" s="1"/>
  <c r="S22" i="120"/>
  <c r="T22" i="120" s="1"/>
  <c r="Y21" i="120"/>
  <c r="X21" i="120"/>
  <c r="U21" i="120"/>
  <c r="V21" i="120" s="1"/>
  <c r="W21" i="120" s="1"/>
  <c r="S21" i="120"/>
  <c r="T21" i="120" s="1"/>
  <c r="Y20" i="120"/>
  <c r="X20" i="120"/>
  <c r="U20" i="120"/>
  <c r="V20" i="120" s="1"/>
  <c r="W20" i="120" s="1"/>
  <c r="S20" i="120"/>
  <c r="T20" i="120" s="1"/>
  <c r="Y19" i="120"/>
  <c r="X19" i="120"/>
  <c r="U19" i="120"/>
  <c r="V19" i="120" s="1"/>
  <c r="W19" i="120" s="1"/>
  <c r="S19" i="120"/>
  <c r="T19" i="120" s="1"/>
  <c r="Y18" i="120"/>
  <c r="X18" i="120"/>
  <c r="U18" i="120"/>
  <c r="V18" i="120" s="1"/>
  <c r="W18" i="120" s="1"/>
  <c r="S18" i="120"/>
  <c r="T18" i="120" s="1"/>
  <c r="Y17" i="120"/>
  <c r="X17" i="120"/>
  <c r="U17" i="120"/>
  <c r="V17" i="120" s="1"/>
  <c r="W17" i="120" s="1"/>
  <c r="S17" i="120"/>
  <c r="T17" i="120" s="1"/>
  <c r="Y16" i="120"/>
  <c r="X16" i="120"/>
  <c r="U16" i="120"/>
  <c r="V16" i="120" s="1"/>
  <c r="W16" i="120" s="1"/>
  <c r="S16" i="120"/>
  <c r="T16" i="120" s="1"/>
  <c r="Y15" i="120"/>
  <c r="X15" i="120"/>
  <c r="U15" i="120"/>
  <c r="V15" i="120" s="1"/>
  <c r="W15" i="120" s="1"/>
  <c r="S15" i="120"/>
  <c r="T15" i="120" s="1"/>
  <c r="Y14" i="120"/>
  <c r="X14" i="120"/>
  <c r="U14" i="120"/>
  <c r="V14" i="120" s="1"/>
  <c r="W14" i="120" s="1"/>
  <c r="S14" i="120"/>
  <c r="T14" i="120" s="1"/>
  <c r="Y13" i="120"/>
  <c r="X13" i="120"/>
  <c r="U13" i="120"/>
  <c r="V13" i="120" s="1"/>
  <c r="W13" i="120" s="1"/>
  <c r="S13" i="120"/>
  <c r="T13" i="120" s="1"/>
  <c r="Y12" i="120"/>
  <c r="X12" i="120"/>
  <c r="U12" i="120"/>
  <c r="V12" i="120" s="1"/>
  <c r="W12" i="120" s="1"/>
  <c r="S12" i="120"/>
  <c r="T12" i="120" s="1"/>
  <c r="Y11" i="120"/>
  <c r="X11" i="120"/>
  <c r="U11" i="120"/>
  <c r="V11" i="120" s="1"/>
  <c r="W11" i="120" s="1"/>
  <c r="S11" i="120"/>
  <c r="T11" i="120" s="1"/>
  <c r="Y10" i="120"/>
  <c r="X10" i="120"/>
  <c r="U10" i="120"/>
  <c r="V10" i="120" s="1"/>
  <c r="W10" i="120" s="1"/>
  <c r="S10" i="120"/>
  <c r="T10" i="120" s="1"/>
  <c r="Y9" i="120"/>
  <c r="X9" i="120"/>
  <c r="U9" i="120"/>
  <c r="V9" i="120" s="1"/>
  <c r="W9" i="120" s="1"/>
  <c r="S9" i="120"/>
  <c r="T9" i="120" s="1"/>
  <c r="Y8" i="120"/>
  <c r="X8" i="120"/>
  <c r="U8" i="120"/>
  <c r="V8" i="120" s="1"/>
  <c r="W8" i="120" s="1"/>
  <c r="S8" i="120"/>
  <c r="T8" i="120" s="1"/>
  <c r="Y7" i="120"/>
  <c r="X7" i="120"/>
  <c r="U7" i="120"/>
  <c r="V7" i="120" s="1"/>
  <c r="W7" i="120" s="1"/>
  <c r="S7" i="120"/>
  <c r="T7" i="120" s="1"/>
  <c r="Y6" i="120"/>
  <c r="X6" i="120"/>
  <c r="U6" i="120"/>
  <c r="V6" i="120" s="1"/>
  <c r="W6" i="120" s="1"/>
  <c r="S6" i="120"/>
  <c r="T6" i="120" s="1"/>
  <c r="Y5" i="120"/>
  <c r="X5" i="120"/>
  <c r="U5" i="120"/>
  <c r="V5" i="120" s="1"/>
  <c r="W5" i="120" s="1"/>
  <c r="S5" i="120"/>
  <c r="T5" i="120" s="1"/>
  <c r="Y4" i="120"/>
  <c r="X4" i="120"/>
  <c r="U4" i="120"/>
  <c r="V4" i="120" s="1"/>
  <c r="W4" i="120" s="1"/>
  <c r="S4" i="120"/>
  <c r="T4" i="120" s="1"/>
  <c r="Y3" i="120"/>
  <c r="X3" i="120"/>
  <c r="U3" i="120"/>
  <c r="V3" i="120" s="1"/>
  <c r="W3" i="120" s="1"/>
  <c r="S3" i="120"/>
  <c r="T3" i="120" s="1"/>
  <c r="O53" i="120" l="1"/>
  <c r="O52" i="120"/>
  <c r="O51" i="120"/>
  <c r="AG2" i="118" l="1"/>
  <c r="V4" i="119"/>
  <c r="AD11" i="118" l="1"/>
  <c r="K24" i="116" s="1"/>
  <c r="AE11" i="118"/>
  <c r="L24" i="116" s="1"/>
  <c r="J27" i="116"/>
  <c r="I27" i="116"/>
  <c r="H27" i="116"/>
  <c r="G27" i="116"/>
  <c r="F27" i="116"/>
  <c r="E27" i="116"/>
  <c r="D27" i="116"/>
  <c r="C27" i="116"/>
  <c r="J40" i="116"/>
  <c r="I40" i="116"/>
  <c r="H40" i="116"/>
  <c r="G40" i="116"/>
  <c r="F40" i="116"/>
  <c r="E40" i="116"/>
  <c r="D40" i="116"/>
  <c r="C40" i="116"/>
  <c r="J25" i="116"/>
  <c r="I25" i="116"/>
  <c r="H25" i="116"/>
  <c r="G25" i="116"/>
  <c r="F25" i="116"/>
  <c r="E25" i="116"/>
  <c r="D25" i="116"/>
  <c r="C25" i="116"/>
  <c r="J20" i="116"/>
  <c r="I20" i="116"/>
  <c r="H20" i="116"/>
  <c r="G20" i="116"/>
  <c r="F20" i="116"/>
  <c r="E20" i="116"/>
  <c r="D20" i="116"/>
  <c r="C20" i="116"/>
  <c r="J28" i="116"/>
  <c r="I28" i="116"/>
  <c r="H28" i="116"/>
  <c r="G28" i="116"/>
  <c r="F28" i="116"/>
  <c r="E28" i="116"/>
  <c r="D28" i="116"/>
  <c r="C28" i="116"/>
  <c r="J23" i="116"/>
  <c r="I23" i="116"/>
  <c r="H23" i="116"/>
  <c r="G23" i="116"/>
  <c r="F23" i="116"/>
  <c r="E23" i="116"/>
  <c r="D23" i="116"/>
  <c r="C23" i="116"/>
  <c r="J45" i="116"/>
  <c r="I45" i="116"/>
  <c r="H45" i="116"/>
  <c r="G45" i="116"/>
  <c r="F45" i="116"/>
  <c r="E45" i="116"/>
  <c r="D45" i="116"/>
  <c r="C45" i="116"/>
  <c r="J24" i="116"/>
  <c r="I24" i="116"/>
  <c r="H24" i="116"/>
  <c r="G24" i="116"/>
  <c r="F24" i="116"/>
  <c r="E24" i="116"/>
  <c r="D24" i="116"/>
  <c r="C24" i="116"/>
  <c r="J29" i="116"/>
  <c r="I29" i="116"/>
  <c r="H29" i="116"/>
  <c r="G29" i="116"/>
  <c r="F29" i="116"/>
  <c r="E29" i="116"/>
  <c r="D29" i="116"/>
  <c r="C29" i="116"/>
  <c r="J17" i="116"/>
  <c r="I17" i="116"/>
  <c r="H17" i="116"/>
  <c r="G17" i="116"/>
  <c r="F17" i="116"/>
  <c r="E17" i="116"/>
  <c r="D17" i="116"/>
  <c r="C17" i="116"/>
  <c r="J16" i="116"/>
  <c r="I16" i="116"/>
  <c r="H16" i="116"/>
  <c r="G16" i="116"/>
  <c r="F16" i="116"/>
  <c r="E16" i="116"/>
  <c r="D16" i="116"/>
  <c r="C16" i="116"/>
  <c r="J30" i="116"/>
  <c r="I30" i="116"/>
  <c r="H30" i="116"/>
  <c r="G30" i="116"/>
  <c r="F30" i="116"/>
  <c r="E30" i="116"/>
  <c r="D30" i="116"/>
  <c r="C30" i="116"/>
  <c r="AG11" i="118" l="1"/>
  <c r="M24" i="116" s="1"/>
  <c r="O4" i="116"/>
  <c r="H19" i="116"/>
  <c r="H48" i="116"/>
  <c r="J43" i="116"/>
  <c r="I43" i="116"/>
  <c r="H43" i="116"/>
  <c r="J41" i="116"/>
  <c r="I41" i="116"/>
  <c r="H41" i="116"/>
  <c r="J37" i="116"/>
  <c r="I37" i="116"/>
  <c r="H37" i="116"/>
  <c r="J46" i="116"/>
  <c r="I46" i="116"/>
  <c r="H46" i="116"/>
  <c r="J36" i="116"/>
  <c r="I36" i="116"/>
  <c r="H36" i="116"/>
  <c r="J35" i="116"/>
  <c r="I35" i="116"/>
  <c r="H35" i="116"/>
  <c r="J38" i="116"/>
  <c r="I38" i="116"/>
  <c r="H38" i="116"/>
  <c r="J44" i="116"/>
  <c r="I44" i="116"/>
  <c r="H44" i="116"/>
  <c r="J47" i="116"/>
  <c r="I47" i="116"/>
  <c r="H47" i="116"/>
  <c r="J42" i="116"/>
  <c r="I42" i="116"/>
  <c r="H42" i="116"/>
  <c r="J39" i="116"/>
  <c r="I39" i="116"/>
  <c r="H39" i="116"/>
  <c r="J33" i="116"/>
  <c r="I33" i="116"/>
  <c r="H33" i="116"/>
  <c r="J34" i="116"/>
  <c r="I34" i="116"/>
  <c r="H34" i="116"/>
  <c r="J15" i="116"/>
  <c r="I15" i="116"/>
  <c r="H15" i="116"/>
  <c r="J18" i="116"/>
  <c r="I18" i="116"/>
  <c r="H18" i="116"/>
  <c r="J32" i="116"/>
  <c r="I32" i="116"/>
  <c r="H32" i="116"/>
  <c r="J13" i="116"/>
  <c r="I13" i="116"/>
  <c r="H13" i="116"/>
  <c r="J31" i="116"/>
  <c r="I31" i="116"/>
  <c r="H31" i="116"/>
  <c r="J26" i="116"/>
  <c r="I26" i="116"/>
  <c r="H26" i="116"/>
  <c r="J14" i="116"/>
  <c r="I14" i="116"/>
  <c r="H14" i="116"/>
  <c r="J22" i="116"/>
  <c r="I22" i="116"/>
  <c r="H22" i="116"/>
  <c r="J12" i="116"/>
  <c r="I12" i="116"/>
  <c r="H12" i="116"/>
  <c r="J11" i="116"/>
  <c r="I11" i="116"/>
  <c r="H11" i="116"/>
  <c r="J9" i="116"/>
  <c r="I9" i="116"/>
  <c r="H9" i="116"/>
  <c r="J21" i="116"/>
  <c r="I21" i="116"/>
  <c r="H21" i="116"/>
  <c r="J10" i="116"/>
  <c r="I10" i="116"/>
  <c r="H10" i="116"/>
  <c r="E4" i="119"/>
  <c r="E3" i="119"/>
  <c r="E2" i="119"/>
  <c r="E4" i="116"/>
  <c r="E3" i="116"/>
  <c r="E2" i="116"/>
  <c r="B10" i="116"/>
  <c r="B11" i="116" s="1"/>
  <c r="B12" i="116" s="1"/>
  <c r="G22" i="116"/>
  <c r="F22" i="116"/>
  <c r="E22" i="116"/>
  <c r="D22" i="116"/>
  <c r="C22" i="116"/>
  <c r="G35" i="116"/>
  <c r="F35" i="116"/>
  <c r="E35" i="116"/>
  <c r="D35" i="116"/>
  <c r="C35" i="116"/>
  <c r="G38" i="116"/>
  <c r="F38" i="116"/>
  <c r="E38" i="116"/>
  <c r="D38" i="116"/>
  <c r="C38" i="116"/>
  <c r="G14" i="116"/>
  <c r="F14" i="116"/>
  <c r="E14" i="116"/>
  <c r="D14" i="116"/>
  <c r="C14" i="116"/>
  <c r="G44" i="116"/>
  <c r="F44" i="116"/>
  <c r="E44" i="116"/>
  <c r="D44" i="116"/>
  <c r="C44" i="116"/>
  <c r="G19" i="116"/>
  <c r="F19" i="116"/>
  <c r="E19" i="116"/>
  <c r="D19" i="116"/>
  <c r="C19" i="116"/>
  <c r="G48" i="116"/>
  <c r="F48" i="116"/>
  <c r="E48" i="116"/>
  <c r="D48" i="116"/>
  <c r="C48" i="116"/>
  <c r="G41" i="116"/>
  <c r="F41" i="116"/>
  <c r="E41" i="116"/>
  <c r="D41" i="116"/>
  <c r="C41" i="116"/>
  <c r="G12" i="116"/>
  <c r="F12" i="116"/>
  <c r="E12" i="116"/>
  <c r="D12" i="116"/>
  <c r="C12" i="116"/>
  <c r="G31" i="116"/>
  <c r="F31" i="116"/>
  <c r="E31" i="116"/>
  <c r="D31" i="116"/>
  <c r="C31" i="116"/>
  <c r="G32" i="116"/>
  <c r="F32" i="116"/>
  <c r="E32" i="116"/>
  <c r="D32" i="116"/>
  <c r="C32" i="116"/>
  <c r="G13" i="116"/>
  <c r="F13" i="116"/>
  <c r="E13" i="116"/>
  <c r="D13" i="116"/>
  <c r="C13" i="116"/>
  <c r="G39" i="116"/>
  <c r="F39" i="116"/>
  <c r="E39" i="116"/>
  <c r="D39" i="116"/>
  <c r="C39" i="116"/>
  <c r="G21" i="116"/>
  <c r="F21" i="116"/>
  <c r="E21" i="116"/>
  <c r="D21" i="116"/>
  <c r="C21" i="116"/>
  <c r="G36" i="116"/>
  <c r="F36" i="116"/>
  <c r="E36" i="116"/>
  <c r="D36" i="116"/>
  <c r="C36" i="116"/>
  <c r="G10" i="116"/>
  <c r="F10" i="116"/>
  <c r="E10" i="116"/>
  <c r="D10" i="116"/>
  <c r="C10" i="116"/>
  <c r="G18" i="116"/>
  <c r="F18" i="116"/>
  <c r="E18" i="116"/>
  <c r="D18" i="116"/>
  <c r="C18" i="116"/>
  <c r="G46" i="116"/>
  <c r="F46" i="116"/>
  <c r="E46" i="116"/>
  <c r="D46" i="116"/>
  <c r="C46" i="116"/>
  <c r="G47" i="116"/>
  <c r="F47" i="116"/>
  <c r="E47" i="116"/>
  <c r="D47" i="116"/>
  <c r="C47" i="116"/>
  <c r="G11" i="116"/>
  <c r="F11" i="116"/>
  <c r="E11" i="116"/>
  <c r="D11" i="116"/>
  <c r="C11" i="116"/>
  <c r="G9" i="116"/>
  <c r="F9" i="116"/>
  <c r="E9" i="116"/>
  <c r="D9" i="116"/>
  <c r="C9" i="116"/>
  <c r="G37" i="116"/>
  <c r="F37" i="116"/>
  <c r="E37" i="116"/>
  <c r="D37" i="116"/>
  <c r="C37" i="116"/>
  <c r="G42" i="116"/>
  <c r="F42" i="116"/>
  <c r="E42" i="116"/>
  <c r="D42" i="116"/>
  <c r="C42" i="116"/>
  <c r="G43" i="116"/>
  <c r="F43" i="116"/>
  <c r="E43" i="116"/>
  <c r="D43" i="116"/>
  <c r="C43" i="116"/>
  <c r="G33" i="116"/>
  <c r="F33" i="116"/>
  <c r="E33" i="116"/>
  <c r="D33" i="116"/>
  <c r="C33" i="116"/>
  <c r="G15" i="116"/>
  <c r="F15" i="116"/>
  <c r="E15" i="116"/>
  <c r="D15" i="116"/>
  <c r="C15" i="116"/>
  <c r="G34" i="116"/>
  <c r="F34" i="116"/>
  <c r="E34" i="116"/>
  <c r="D34" i="116"/>
  <c r="C34" i="116"/>
  <c r="G26" i="116"/>
  <c r="F26" i="116"/>
  <c r="E26" i="116"/>
  <c r="D26" i="116"/>
  <c r="C26" i="116"/>
  <c r="AE49" i="118"/>
  <c r="L35" i="116" s="1"/>
  <c r="AD49" i="118"/>
  <c r="K35" i="116" s="1"/>
  <c r="AE48" i="118"/>
  <c r="L38" i="116" s="1"/>
  <c r="AD48" i="118"/>
  <c r="K38" i="116" s="1"/>
  <c r="AE47" i="118"/>
  <c r="L14" i="116" s="1"/>
  <c r="AD47" i="118"/>
  <c r="K14" i="116" s="1"/>
  <c r="AE46" i="118"/>
  <c r="L44" i="116" s="1"/>
  <c r="AD46" i="118"/>
  <c r="AE45" i="118"/>
  <c r="L19" i="116" s="1"/>
  <c r="AD45" i="118"/>
  <c r="K19" i="116" s="1"/>
  <c r="AE44" i="118"/>
  <c r="L48" i="116" s="1"/>
  <c r="AD44" i="118"/>
  <c r="K48" i="116" s="1"/>
  <c r="O48" i="116" s="1"/>
  <c r="AE43" i="118"/>
  <c r="L41" i="116" s="1"/>
  <c r="AD43" i="118"/>
  <c r="K41" i="116" s="1"/>
  <c r="AE42" i="118"/>
  <c r="L12" i="116" s="1"/>
  <c r="AD42" i="118"/>
  <c r="AE41" i="118"/>
  <c r="L31" i="116" s="1"/>
  <c r="AD41" i="118"/>
  <c r="K31" i="116" s="1"/>
  <c r="AE40" i="118"/>
  <c r="L32" i="116" s="1"/>
  <c r="AD40" i="118"/>
  <c r="K32" i="116" s="1"/>
  <c r="AE39" i="118"/>
  <c r="L13" i="116" s="1"/>
  <c r="AD39" i="118"/>
  <c r="K13" i="116" s="1"/>
  <c r="AE38" i="118"/>
  <c r="L39" i="116" s="1"/>
  <c r="AD38" i="118"/>
  <c r="K39" i="116" s="1"/>
  <c r="AE37" i="118"/>
  <c r="L21" i="116" s="1"/>
  <c r="AD37" i="118"/>
  <c r="K21" i="116" s="1"/>
  <c r="AE36" i="118"/>
  <c r="L30" i="116" s="1"/>
  <c r="AD36" i="118"/>
  <c r="K30" i="116" s="1"/>
  <c r="AE35" i="118"/>
  <c r="L36" i="116" s="1"/>
  <c r="AD35" i="118"/>
  <c r="K36" i="116" s="1"/>
  <c r="AE34" i="118"/>
  <c r="L10" i="116" s="1"/>
  <c r="AD34" i="118"/>
  <c r="K10" i="116" s="1"/>
  <c r="AE33" i="118"/>
  <c r="L27" i="116" s="1"/>
  <c r="AD33" i="118"/>
  <c r="K27" i="116" s="1"/>
  <c r="AE32" i="118"/>
  <c r="L18" i="116" s="1"/>
  <c r="AD32" i="118"/>
  <c r="K18" i="116" s="1"/>
  <c r="AE31" i="118"/>
  <c r="L46" i="116" s="1"/>
  <c r="AD31" i="118"/>
  <c r="K46" i="116" s="1"/>
  <c r="AE30" i="118"/>
  <c r="L47" i="116" s="1"/>
  <c r="AD30" i="118"/>
  <c r="AE29" i="118"/>
  <c r="L45" i="116" s="1"/>
  <c r="AD29" i="118"/>
  <c r="K45" i="116" s="1"/>
  <c r="AE28" i="118"/>
  <c r="L11" i="116" s="1"/>
  <c r="AD28" i="118"/>
  <c r="AE27" i="118"/>
  <c r="L29" i="116" s="1"/>
  <c r="AD27" i="118"/>
  <c r="K29" i="116" s="1"/>
  <c r="AE26" i="118"/>
  <c r="L28" i="116" s="1"/>
  <c r="AD26" i="118"/>
  <c r="K28" i="116" s="1"/>
  <c r="AE25" i="118"/>
  <c r="L40" i="116" s="1"/>
  <c r="AD25" i="118"/>
  <c r="K40" i="116" s="1"/>
  <c r="AE24" i="118"/>
  <c r="L25" i="116" s="1"/>
  <c r="AD24" i="118"/>
  <c r="K25" i="116" s="1"/>
  <c r="AE23" i="118"/>
  <c r="L9" i="116" s="1"/>
  <c r="AD23" i="118"/>
  <c r="K9" i="116" s="1"/>
  <c r="AE22" i="118"/>
  <c r="L37" i="116" s="1"/>
  <c r="AD22" i="118"/>
  <c r="AE21" i="118"/>
  <c r="L42" i="116" s="1"/>
  <c r="AD21" i="118"/>
  <c r="K42" i="116" s="1"/>
  <c r="AE20" i="118"/>
  <c r="L43" i="116" s="1"/>
  <c r="AD20" i="118"/>
  <c r="K43" i="116" s="1"/>
  <c r="AE19" i="118"/>
  <c r="L20" i="116" s="1"/>
  <c r="AD19" i="118"/>
  <c r="K20" i="116" s="1"/>
  <c r="AE18" i="118"/>
  <c r="L17" i="116" s="1"/>
  <c r="AD18" i="118"/>
  <c r="AE17" i="118"/>
  <c r="L16" i="116" s="1"/>
  <c r="AD17" i="118"/>
  <c r="K16" i="116" s="1"/>
  <c r="AE16" i="118"/>
  <c r="L33" i="116" s="1"/>
  <c r="AD16" i="118"/>
  <c r="AE15" i="118"/>
  <c r="L23" i="116" s="1"/>
  <c r="AD15" i="118"/>
  <c r="K23" i="116" s="1"/>
  <c r="AE14" i="118"/>
  <c r="L15" i="116" s="1"/>
  <c r="AD14" i="118"/>
  <c r="K15" i="116" s="1"/>
  <c r="AE13" i="118"/>
  <c r="L34" i="116" s="1"/>
  <c r="AD13" i="118"/>
  <c r="K34" i="116" s="1"/>
  <c r="AE12" i="118"/>
  <c r="L26" i="116" s="1"/>
  <c r="AD12" i="118"/>
  <c r="K26" i="116" s="1"/>
  <c r="AE50" i="118"/>
  <c r="L22" i="116" s="1"/>
  <c r="AD50" i="118"/>
  <c r="K22" i="116" s="1"/>
  <c r="O42" i="116" l="1"/>
  <c r="O29" i="116"/>
  <c r="O30" i="116"/>
  <c r="O26" i="116"/>
  <c r="O20" i="116"/>
  <c r="O24" i="116"/>
  <c r="O21" i="116"/>
  <c r="O25" i="116"/>
  <c r="O19" i="116"/>
  <c r="O31" i="116"/>
  <c r="O28" i="116"/>
  <c r="O34" i="116"/>
  <c r="O9" i="116"/>
  <c r="O16" i="116"/>
  <c r="O27" i="116"/>
  <c r="O46" i="116"/>
  <c r="O32" i="116"/>
  <c r="L50" i="116"/>
  <c r="AG46" i="118"/>
  <c r="M44" i="116" s="1"/>
  <c r="K44" i="116"/>
  <c r="AG16" i="118"/>
  <c r="M33" i="116" s="1"/>
  <c r="K33" i="116"/>
  <c r="AG18" i="118"/>
  <c r="M17" i="116" s="1"/>
  <c r="K17" i="116"/>
  <c r="AG22" i="118"/>
  <c r="M37" i="116" s="1"/>
  <c r="K37" i="116"/>
  <c r="O37" i="116" s="1"/>
  <c r="AG30" i="118"/>
  <c r="M47" i="116" s="1"/>
  <c r="K47" i="116"/>
  <c r="O47" i="116" s="1"/>
  <c r="AG42" i="118"/>
  <c r="M12" i="116" s="1"/>
  <c r="K12" i="116"/>
  <c r="O43" i="116"/>
  <c r="AG28" i="118"/>
  <c r="M11" i="116" s="1"/>
  <c r="K11" i="116"/>
  <c r="AG50" i="118"/>
  <c r="M22" i="116" s="1"/>
  <c r="AG34" i="118"/>
  <c r="M10" i="116" s="1"/>
  <c r="AG15" i="118"/>
  <c r="M23" i="116" s="1"/>
  <c r="AG27" i="118"/>
  <c r="M29" i="116" s="1"/>
  <c r="AG39" i="118"/>
  <c r="M13" i="116" s="1"/>
  <c r="AG17" i="118"/>
  <c r="M16" i="116" s="1"/>
  <c r="AG29" i="118"/>
  <c r="M45" i="116" s="1"/>
  <c r="AG41" i="118"/>
  <c r="M31" i="116" s="1"/>
  <c r="AG19" i="118"/>
  <c r="M20" i="116" s="1"/>
  <c r="AG31" i="118"/>
  <c r="M46" i="116" s="1"/>
  <c r="AG20" i="118"/>
  <c r="M43" i="116" s="1"/>
  <c r="AG21" i="118"/>
  <c r="M42" i="116" s="1"/>
  <c r="AG45" i="118"/>
  <c r="M19" i="116" s="1"/>
  <c r="AG13" i="118"/>
  <c r="M34" i="116" s="1"/>
  <c r="AG25" i="118"/>
  <c r="M40" i="116" s="1"/>
  <c r="AG37" i="118"/>
  <c r="M21" i="116" s="1"/>
  <c r="AG49" i="118"/>
  <c r="M35" i="116" s="1"/>
  <c r="AG32" i="118"/>
  <c r="M18" i="116" s="1"/>
  <c r="AG44" i="118"/>
  <c r="M48" i="116" s="1"/>
  <c r="AG43" i="118"/>
  <c r="M41" i="116" s="1"/>
  <c r="AG33" i="118"/>
  <c r="M27" i="116" s="1"/>
  <c r="AG23" i="118"/>
  <c r="M9" i="116" s="1"/>
  <c r="AG35" i="118"/>
  <c r="M36" i="116" s="1"/>
  <c r="AG47" i="118"/>
  <c r="M14" i="116" s="1"/>
  <c r="AG40" i="118"/>
  <c r="M32" i="116" s="1"/>
  <c r="AG12" i="118"/>
  <c r="M26" i="116" s="1"/>
  <c r="AG24" i="118"/>
  <c r="M25" i="116" s="1"/>
  <c r="AG36" i="118"/>
  <c r="M30" i="116" s="1"/>
  <c r="AG48" i="118"/>
  <c r="M38" i="116" s="1"/>
  <c r="AG14" i="118"/>
  <c r="M15" i="116" s="1"/>
  <c r="AG26" i="118"/>
  <c r="M28" i="116" s="1"/>
  <c r="AG38" i="118"/>
  <c r="M39" i="116" s="1"/>
  <c r="O22" i="116" l="1"/>
  <c r="O45" i="116"/>
  <c r="O38" i="116"/>
  <c r="O36" i="116"/>
  <c r="O39" i="116"/>
  <c r="O33" i="116"/>
  <c r="O40" i="116"/>
  <c r="O44" i="116"/>
  <c r="O10" i="116"/>
  <c r="O18" i="116"/>
  <c r="O15" i="116"/>
  <c r="O23" i="116"/>
  <c r="O13" i="116"/>
  <c r="O35" i="116"/>
  <c r="O11" i="116"/>
  <c r="O17" i="116"/>
  <c r="O41" i="116"/>
  <c r="O14" i="116"/>
  <c r="M50" i="116"/>
  <c r="O12" i="116"/>
  <c r="K50" i="116"/>
  <c r="S10" i="116" l="1"/>
  <c r="S9" i="116"/>
  <c r="S11" i="116"/>
  <c r="Z10" i="119" l="1"/>
  <c r="Z9" i="119"/>
  <c r="Z11" i="119"/>
  <c r="B13" i="116"/>
  <c r="B14" i="116"/>
  <c r="B15" i="116"/>
  <c r="B16" i="116" s="1"/>
  <c r="B17" i="116" s="1"/>
  <c r="B18" i="116" s="1"/>
  <c r="B19" i="116" s="1"/>
  <c r="B20" i="116" s="1"/>
  <c r="B21" i="116" s="1"/>
  <c r="B22" i="116" s="1"/>
  <c r="B23" i="116" s="1"/>
  <c r="B24" i="116" s="1"/>
  <c r="B25" i="116" s="1"/>
  <c r="B26" i="116" s="1"/>
  <c r="B27" i="116" s="1"/>
  <c r="B28" i="116" s="1"/>
  <c r="B29" i="116" s="1"/>
  <c r="B30" i="116" s="1"/>
  <c r="B31" i="116" s="1"/>
  <c r="B32" i="116" s="1"/>
  <c r="B33" i="116" s="1"/>
  <c r="B34" i="116" s="1"/>
  <c r="B35" i="116" s="1"/>
  <c r="B36" i="116" s="1"/>
  <c r="B37" i="116" s="1"/>
  <c r="B38" i="116" s="1"/>
  <c r="B39" i="116" s="1"/>
  <c r="B40" i="116" s="1"/>
  <c r="B41" i="116" s="1"/>
  <c r="B42" i="116" s="1"/>
  <c r="B43" i="116" s="1"/>
  <c r="B44" i="116" s="1"/>
  <c r="B45" i="116" s="1"/>
  <c r="B46" i="116" s="1"/>
  <c r="B47" i="116" s="1"/>
  <c r="B48" i="116" s="1"/>
</calcChain>
</file>

<file path=xl/sharedStrings.xml><?xml version="1.0" encoding="utf-8"?>
<sst xmlns="http://schemas.openxmlformats.org/spreadsheetml/2006/main" count="1398" uniqueCount="527">
  <si>
    <t>Rev</t>
  </si>
  <si>
    <t>ESTADO DE TRÁMITES Y PERMISOS DE PROYECTOS MIXTOS, PRIMERA RONDA</t>
  </si>
  <si>
    <t>Socio</t>
  </si>
  <si>
    <t>Proyecto</t>
  </si>
  <si>
    <t>Municipio</t>
  </si>
  <si>
    <t>Estado</t>
  </si>
  <si>
    <t>Tipo</t>
  </si>
  <si>
    <t>Capacidad</t>
  </si>
  <si>
    <t>Fecha de inicio de inversión</t>
  </si>
  <si>
    <t>COD</t>
  </si>
  <si>
    <t>Avance en trámites y/o permisos</t>
  </si>
  <si>
    <t>Grupo de atención</t>
  </si>
  <si>
    <t>Parque</t>
  </si>
  <si>
    <t>LT</t>
  </si>
  <si>
    <t>Global</t>
  </si>
  <si>
    <t>A</t>
  </si>
  <si>
    <t>B</t>
  </si>
  <si>
    <t>C</t>
  </si>
  <si>
    <t>AVANCE GLOBAL</t>
  </si>
  <si>
    <t>NOTAS Y SIMBOLOGÍA</t>
  </si>
  <si>
    <t>Premisis y supuestos de análisis</t>
  </si>
  <si>
    <t>Se analizan por separado el Parque y la LT</t>
  </si>
  <si>
    <t>Trámites y/o Permisos que se incluyen en el presenta análisis</t>
  </si>
  <si>
    <t>Tenencia de la tierra (pondera 10%)</t>
  </si>
  <si>
    <t>Parque (pondera 80%)</t>
  </si>
  <si>
    <t>Estudios de Interconexión (pondera 10%)</t>
  </si>
  <si>
    <t>LT (pondera 20%)</t>
  </si>
  <si>
    <t>Manifestación de Impacto Ambientyal (ponedra 20%)</t>
  </si>
  <si>
    <t>Código de colores</t>
  </si>
  <si>
    <r>
      <rPr>
        <b/>
        <sz val="9"/>
        <rFont val="Aptos Narrow"/>
        <family val="2"/>
      </rPr>
      <t xml:space="preserve">Verde: </t>
    </r>
    <r>
      <rPr>
        <sz val="9"/>
        <rFont val="Aptos Narrow"/>
        <family val="2"/>
      </rPr>
      <t>De un 85.00% a un 100%</t>
    </r>
  </si>
  <si>
    <t>Estudio Técnico Justificativo (pondera 10%)</t>
  </si>
  <si>
    <r>
      <rPr>
        <b/>
        <sz val="9"/>
        <rFont val="Aptos Narrow"/>
        <family val="2"/>
      </rPr>
      <t xml:space="preserve">Amarillo: </t>
    </r>
    <r>
      <rPr>
        <sz val="9"/>
        <rFont val="Aptos Narrow"/>
        <family val="2"/>
      </rPr>
      <t>De un 76.00% a un 84.99%</t>
    </r>
  </si>
  <si>
    <t>Manifestación de Impacto Social (pondera 20%)</t>
  </si>
  <si>
    <r>
      <rPr>
        <b/>
        <sz val="9"/>
        <rFont val="Aptos Narrow"/>
        <family val="2"/>
      </rPr>
      <t xml:space="preserve">Rojo: </t>
    </r>
    <r>
      <rPr>
        <sz val="9"/>
        <rFont val="Aptos Narrow"/>
        <family val="2"/>
      </rPr>
      <t>Debajo de 75.99%</t>
    </r>
  </si>
  <si>
    <t>Consulta Indígena (pondera 10%)</t>
  </si>
  <si>
    <t>(*)</t>
  </si>
  <si>
    <t>Proyecto en segunda ronda de Proyectos Mixtos</t>
  </si>
  <si>
    <t>Instituto Nacional de Antropología e Historia (pondera 5%)</t>
  </si>
  <si>
    <t>(**)</t>
  </si>
  <si>
    <t>Proyecto que no puede ser ingresado al SEN sin que entren obras de refuerzo por un tercero; según CENACE</t>
  </si>
  <si>
    <t>Comisión Nacional del Agua (pondera 5%)</t>
  </si>
  <si>
    <t>Petroleos Mexicanos (5%)</t>
  </si>
  <si>
    <t>Asgencia Federal de Aviación Civil (pondera 5%)</t>
  </si>
  <si>
    <t>Fecha de Inicio de inversión</t>
  </si>
  <si>
    <t>Trámites y Permisos del Parque</t>
  </si>
  <si>
    <t>Grupo de Atención</t>
  </si>
  <si>
    <t>Derechos inmobiliarios</t>
  </si>
  <si>
    <t>Estudios Interconexión</t>
  </si>
  <si>
    <t>ETJ</t>
  </si>
  <si>
    <t>Consulta Indígena</t>
  </si>
  <si>
    <t>PEMEX</t>
  </si>
  <si>
    <t>INAH</t>
  </si>
  <si>
    <t>CONAGUA</t>
  </si>
  <si>
    <t>AFAC</t>
  </si>
  <si>
    <t>FISTERRA</t>
  </si>
  <si>
    <t>San Simón Solar</t>
  </si>
  <si>
    <t>San Quintin</t>
  </si>
  <si>
    <t>Baja California</t>
  </si>
  <si>
    <t>Fotovoltaico</t>
  </si>
  <si>
    <t>80 MW + 30% BESS</t>
  </si>
  <si>
    <t>N/A</t>
  </si>
  <si>
    <t>Liberado</t>
  </si>
  <si>
    <t>ELAWAN WIND</t>
  </si>
  <si>
    <t>San Pedro Solar</t>
  </si>
  <si>
    <t>Huimilpan y Corregidora</t>
  </si>
  <si>
    <t>Querétaro</t>
  </si>
  <si>
    <t>98.2 MW + 30% BESS</t>
  </si>
  <si>
    <t>CUBICO</t>
  </si>
  <si>
    <t>Energías Renovables de Tamaulipas (Altamira)</t>
  </si>
  <si>
    <t>Altamira</t>
  </si>
  <si>
    <t>Tamaulipas</t>
  </si>
  <si>
    <t>78 MW + 30% BESS</t>
  </si>
  <si>
    <t xml:space="preserve"> C</t>
  </si>
  <si>
    <t>GRUPO ZML</t>
  </si>
  <si>
    <t>Álvaro Obregón</t>
  </si>
  <si>
    <t>La Paz</t>
  </si>
  <si>
    <t>Baja California Sur</t>
  </si>
  <si>
    <t>90 MW + 100% BESS</t>
  </si>
  <si>
    <t>SELKA</t>
  </si>
  <si>
    <t>Selka Power Plant 1</t>
  </si>
  <si>
    <t>Romita</t>
  </si>
  <si>
    <t>Guanajuato</t>
  </si>
  <si>
    <t>141.4 MW + 30% BESS</t>
  </si>
  <si>
    <t>ATLAS</t>
  </si>
  <si>
    <t>Concepción Mendizábal M. - Fase I</t>
  </si>
  <si>
    <t>Nava</t>
  </si>
  <si>
    <t>Coahuila</t>
  </si>
  <si>
    <t>339 MW + 30.00% BESS</t>
  </si>
  <si>
    <t>Concepción Mendizábal M. - Fase II</t>
  </si>
  <si>
    <t>180 MW + 30.00% BESS</t>
  </si>
  <si>
    <t>POLARIS</t>
  </si>
  <si>
    <t>Don Humberto</t>
  </si>
  <si>
    <t>Culiacán</t>
  </si>
  <si>
    <t xml:space="preserve">Sinaloa </t>
  </si>
  <si>
    <t>19.2 MW + 30% BESS</t>
  </si>
  <si>
    <t>Concepción Mendizábal M. - Fase III</t>
  </si>
  <si>
    <t>ALTEN</t>
  </si>
  <si>
    <t>Global Solar 3 Campeche</t>
  </si>
  <si>
    <t>El Carmen</t>
  </si>
  <si>
    <t>Campeche</t>
  </si>
  <si>
    <t>125 MW + 30.00% BESS</t>
  </si>
  <si>
    <t>Pendiente</t>
  </si>
  <si>
    <t>THERMION</t>
  </si>
  <si>
    <t>Sol de Sonora 70</t>
  </si>
  <si>
    <t>Hermosillo</t>
  </si>
  <si>
    <t>Sonora</t>
  </si>
  <si>
    <t>70 MW + 31.43% BESS</t>
  </si>
  <si>
    <t>Delaro (*)</t>
  </si>
  <si>
    <t>Reynosa</t>
  </si>
  <si>
    <t>Eólico</t>
  </si>
  <si>
    <t>Los Molinos</t>
  </si>
  <si>
    <t>Matamoros</t>
  </si>
  <si>
    <t>171 MW + 30% BESS</t>
  </si>
  <si>
    <t xml:space="preserve">Energías Renovables De México Tres (Hecelchakan) </t>
  </si>
  <si>
    <t>Hecelchakán</t>
  </si>
  <si>
    <t>72 MW + 30% BESS</t>
  </si>
  <si>
    <t>Planta Solar Cerro Colorado</t>
  </si>
  <si>
    <t>Sayula de Alemán</t>
  </si>
  <si>
    <t>Veracruz</t>
  </si>
  <si>
    <t>ACTIS</t>
  </si>
  <si>
    <t>PV Moquel Solar</t>
  </si>
  <si>
    <t>Champotón</t>
  </si>
  <si>
    <t>75 MW + 34.08% BESS</t>
  </si>
  <si>
    <t>PV Sandom Solar</t>
  </si>
  <si>
    <t>Hopelchen</t>
  </si>
  <si>
    <t>54 MW + 34.08% BESS</t>
  </si>
  <si>
    <t>Código de colores
(CELDAS)</t>
  </si>
  <si>
    <t>Manifestación de Impacto Ambientyal (pondera 20%)</t>
  </si>
  <si>
    <t>Código de colores
(Grupo)</t>
  </si>
  <si>
    <r>
      <t xml:space="preserve">Celdas grises: </t>
    </r>
    <r>
      <rPr>
        <sz val="9"/>
        <rFont val="Aptos Narrow"/>
        <family val="2"/>
      </rPr>
      <t xml:space="preserve"> Pendiente, Consulta pendiente por parte de SENER</t>
    </r>
  </si>
  <si>
    <t>COMISIÓN FEDERAL DE ELECTRICIDAD</t>
  </si>
  <si>
    <t>COORDINACIÓN DE PROYECTOS DE ENERGÍAS LIMPIAS</t>
  </si>
  <si>
    <t>GERENCIA DE CONSTRUCCIÓN</t>
  </si>
  <si>
    <t>No.</t>
  </si>
  <si>
    <t>Ubicación</t>
  </si>
  <si>
    <t>Tecnología</t>
  </si>
  <si>
    <t>Fecha de Incio de invesión</t>
  </si>
  <si>
    <t>Derechos Inmobiliarios</t>
  </si>
  <si>
    <t>Estudios de interconexión</t>
  </si>
  <si>
    <t>Ambientales</t>
  </si>
  <si>
    <t>Social</t>
  </si>
  <si>
    <t>Dependencias</t>
  </si>
  <si>
    <t>Avance Tratimtes Parque</t>
  </si>
  <si>
    <t>Avance Tramites Línea</t>
  </si>
  <si>
    <t>Avance Trámites Proyecto</t>
  </si>
  <si>
    <t>MIA - DTU</t>
  </si>
  <si>
    <t>MISSE (EvIS)</t>
  </si>
  <si>
    <t>Viento de Bella Unión</t>
  </si>
  <si>
    <t>Arteaga</t>
  </si>
  <si>
    <t>120 MW + 34.08% BESS</t>
  </si>
  <si>
    <t>ATLANTICA</t>
  </si>
  <si>
    <t>Dalia 3 (Castamay)</t>
  </si>
  <si>
    <t>100 MW + 30% BESS</t>
  </si>
  <si>
    <t>Fresnillo (PV Atocha)</t>
  </si>
  <si>
    <t>Fresnillo</t>
  </si>
  <si>
    <t>Zacatecas</t>
  </si>
  <si>
    <t>CSQB ENERGY</t>
  </si>
  <si>
    <t>Cimarrón Solar (**)</t>
  </si>
  <si>
    <t>300 MW + 30% BESS</t>
  </si>
  <si>
    <t>La Poza Solar (**)</t>
  </si>
  <si>
    <t>Sunora (**)</t>
  </si>
  <si>
    <t>Energía Limpia el Mezquite</t>
  </si>
  <si>
    <t>Mina</t>
  </si>
  <si>
    <t>Nuevo León</t>
  </si>
  <si>
    <t>Energías Renovables Saas (Peto)</t>
  </si>
  <si>
    <t>Peto</t>
  </si>
  <si>
    <t>Yucatán</t>
  </si>
  <si>
    <t xml:space="preserve">Energías Renovables Kiin (Tekax) </t>
  </si>
  <si>
    <t>Tekax</t>
  </si>
  <si>
    <t>56 MW + 30% BESS</t>
  </si>
  <si>
    <t>ENERGÍA ASELCO</t>
  </si>
  <si>
    <t>El Palmar</t>
  </si>
  <si>
    <t>Los Cabos</t>
  </si>
  <si>
    <t>120 MW + 30% BESS</t>
  </si>
  <si>
    <t>La Pasión</t>
  </si>
  <si>
    <t>66 MW + 30% BESS</t>
  </si>
  <si>
    <t>Tikinmul</t>
  </si>
  <si>
    <t>170 MW + 30% BESS</t>
  </si>
  <si>
    <t>Haab Kiin</t>
  </si>
  <si>
    <t>Úman</t>
  </si>
  <si>
    <t>123.2 MW + 30% BESS</t>
  </si>
  <si>
    <t>GRUPO PANTERA</t>
  </si>
  <si>
    <t>La Noria</t>
  </si>
  <si>
    <t>Villa Unión</t>
  </si>
  <si>
    <t>301.5 MW + 30% BESS</t>
  </si>
  <si>
    <t>Solitario</t>
  </si>
  <si>
    <t>San Luis Río Colorado</t>
  </si>
  <si>
    <t>200 MW + 32.5% BESS</t>
  </si>
  <si>
    <t>MIP FREEMAN</t>
  </si>
  <si>
    <t>CFV Las Garzas (**)</t>
  </si>
  <si>
    <t>Lerdo</t>
  </si>
  <si>
    <t>Durango</t>
  </si>
  <si>
    <t>270 MW + 30% BESS</t>
  </si>
  <si>
    <t>Los Girasoles</t>
  </si>
  <si>
    <t>José María Morelos</t>
  </si>
  <si>
    <t xml:space="preserve">Quintana Roo </t>
  </si>
  <si>
    <t>110 MW + 30% BESS</t>
  </si>
  <si>
    <t>Tres Hermanos</t>
  </si>
  <si>
    <t>Huamantla, Xaloztoc, Terrenate</t>
  </si>
  <si>
    <t>Tlaxcala</t>
  </si>
  <si>
    <t>75 MW + 30% BESS</t>
  </si>
  <si>
    <t>SUKARNE - ENERGÍA FAMILIAR</t>
  </si>
  <si>
    <t>CFV Quasara</t>
  </si>
  <si>
    <t>Mexicali</t>
  </si>
  <si>
    <t>150 MW + 30% BESS</t>
  </si>
  <si>
    <t>ENHOL &amp; GEMEX (TERRALIA)</t>
  </si>
  <si>
    <t>Sierra Madre (El Chorro) (*)</t>
  </si>
  <si>
    <t>Casas y Güémez</t>
  </si>
  <si>
    <t>580 MW + 30% BESS</t>
  </si>
  <si>
    <t>El Guajillo</t>
  </si>
  <si>
    <t>Montecristo</t>
  </si>
  <si>
    <t>Méndez</t>
  </si>
  <si>
    <t>510 MW + 30% BESS</t>
  </si>
  <si>
    <t>Santa Gertrudis</t>
  </si>
  <si>
    <t>503 MW + 30% BESS</t>
  </si>
  <si>
    <t>Ponderan</t>
  </si>
  <si>
    <t>Pondera</t>
  </si>
  <si>
    <t>Indica Proyecto que se va a segunda ronda de Proyectos Mixtos</t>
  </si>
  <si>
    <t>Indica Proyecto que no puede ser ingresado al SEN sin que entren obras de refuerzo que no son responsabilidad del Proyecto, es decir, por un tercero; según CENACE</t>
  </si>
  <si>
    <t>NO.</t>
  </si>
  <si>
    <t>TÍTULO 2</t>
  </si>
  <si>
    <t>Almacenamiento (BESS)</t>
  </si>
  <si>
    <t>Horas de Almacenamiento</t>
  </si>
  <si>
    <t>Fin de Construcción</t>
  </si>
  <si>
    <t>Fecha firma de contrato</t>
  </si>
  <si>
    <t>CAPEX</t>
  </si>
  <si>
    <t>INVERSIONISTA</t>
  </si>
  <si>
    <t>MWh (3 HRS)</t>
  </si>
  <si>
    <t>CAPEX /
MW</t>
  </si>
  <si>
    <t>CAPEX /
MWh (BESS)</t>
  </si>
  <si>
    <t>Capacidad (MW)</t>
  </si>
  <si>
    <t>Almacenamiento(BESS)</t>
  </si>
  <si>
    <t>ESTADO</t>
  </si>
  <si>
    <t>MUNICIPIO</t>
  </si>
  <si>
    <t>SAN SIMÓN SOLAR</t>
  </si>
  <si>
    <t>Fisterra</t>
  </si>
  <si>
    <t>FV - Fotovoltaica</t>
  </si>
  <si>
    <t>San Quintín, Baja California</t>
  </si>
  <si>
    <t>80 MW</t>
  </si>
  <si>
    <t>24 MW / 85.255 MWh</t>
  </si>
  <si>
    <t>FEM ENERGY XIV, S. DE R.L. DE C.V.</t>
  </si>
  <si>
    <t xml:space="preserve"> Baja California</t>
  </si>
  <si>
    <t>San Quintín</t>
  </si>
  <si>
    <t>PROYECTO EÓLICO REGIÓN NORESTE (LA NORIA)</t>
  </si>
  <si>
    <t>Grupo Pantera</t>
  </si>
  <si>
    <t>EO - Eólica</t>
  </si>
  <si>
    <t>Villa Unión, Coahuila</t>
  </si>
  <si>
    <t>301.5 MW</t>
  </si>
  <si>
    <t>90.5 MW / 271.4 MWh</t>
  </si>
  <si>
    <t>PANT3RA INFRAESTRUCTURA I, S.A. DE C.V.</t>
  </si>
  <si>
    <t xml:space="preserve"> Coahuila</t>
  </si>
  <si>
    <t>SOLITARIO</t>
  </si>
  <si>
    <t>San Luis Río Colorado, Sonora</t>
  </si>
  <si>
    <t>200 MW</t>
  </si>
  <si>
    <t>65 MW / 217 MWh</t>
  </si>
  <si>
    <t xml:space="preserve"> Sonora</t>
  </si>
  <si>
    <t>ÁLVARO OBREGÓN</t>
  </si>
  <si>
    <t>Grupo ZML</t>
  </si>
  <si>
    <t>La Paz, Baja California Sur</t>
  </si>
  <si>
    <t>90 MW</t>
  </si>
  <si>
    <t>90 MW / 360 MWh</t>
  </si>
  <si>
    <t>ZML PROMOTORES ENERGÉTICOS MX, S.A.P.I. DE C.V.</t>
  </si>
  <si>
    <t xml:space="preserve"> Baja California Sur</t>
  </si>
  <si>
    <t>PV SANDOM SOLAR</t>
  </si>
  <si>
    <t>Actis</t>
  </si>
  <si>
    <t>Hopelchén, Campeche</t>
  </si>
  <si>
    <t>54 MW</t>
  </si>
  <si>
    <t>18.4 MW / 55.2 MWh</t>
  </si>
  <si>
    <t>TRANSACTION SPEED SPV, S.A. DE C.V.</t>
  </si>
  <si>
    <t xml:space="preserve"> Campeche</t>
  </si>
  <si>
    <t>Hopelchén</t>
  </si>
  <si>
    <t>SANTA GERTRUDIS</t>
  </si>
  <si>
    <t>Thermion</t>
  </si>
  <si>
    <t>Méndez, Tamaulipas</t>
  </si>
  <si>
    <t>503 MW</t>
  </si>
  <si>
    <t>151 MW / 453 MWh</t>
  </si>
  <si>
    <t>THERMION ENERGY, S.A. DE C.V.</t>
  </si>
  <si>
    <t xml:space="preserve"> Tamaulipas</t>
  </si>
  <si>
    <t>EL GUAJILLO</t>
  </si>
  <si>
    <t>Reynosa, Tamaulipas</t>
  </si>
  <si>
    <t>468 MW</t>
  </si>
  <si>
    <t>140.4 MW / 421.2 MWh</t>
  </si>
  <si>
    <t>SOLAR ENERGÍA TRES HERMANOS</t>
  </si>
  <si>
    <t>Polaris</t>
  </si>
  <si>
    <t xml:space="preserve">Huamantla / Xaloztoc, Tlaxcala </t>
  </si>
  <si>
    <t>75 MW</t>
  </si>
  <si>
    <t>22.5 MW / 71.6 MWh</t>
  </si>
  <si>
    <t>NEBULA INNOVATIONS 1939, S. DE R.L. DE C.V.</t>
  </si>
  <si>
    <t xml:space="preserve"> Tlaxcala </t>
  </si>
  <si>
    <t>Huamantla / Xaloztoc</t>
  </si>
  <si>
    <t>LOS GIRASOLES</t>
  </si>
  <si>
    <t>José María Morelos, Quintana Roo</t>
  </si>
  <si>
    <t>110 MW</t>
  </si>
  <si>
    <t>33 MW / 101.5 MWh</t>
  </si>
  <si>
    <t xml:space="preserve"> Quintana Roo</t>
  </si>
  <si>
    <t>DON HUMBERTO</t>
  </si>
  <si>
    <t>Culiacán, Sinaloa</t>
  </si>
  <si>
    <t>19.2 MW</t>
  </si>
  <si>
    <t>6.1 MW / 18.9 MWh</t>
  </si>
  <si>
    <t xml:space="preserve"> Sinaloa</t>
  </si>
  <si>
    <t>PLANTA SOLAR HAAB KIIN</t>
  </si>
  <si>
    <t>Umán, Yucatán</t>
  </si>
  <si>
    <t>123.2 MW</t>
  </si>
  <si>
    <t>36.96 MW / 135.41 MWh</t>
  </si>
  <si>
    <t>FEM ENERGY X, S. DE R.L. DE C.V.</t>
  </si>
  <si>
    <t xml:space="preserve"> Yucatán</t>
  </si>
  <si>
    <t>Umán</t>
  </si>
  <si>
    <t>PLANTA SOLAR CERRO COLORADO</t>
  </si>
  <si>
    <t>Sayula de Alemán, Veracruz</t>
  </si>
  <si>
    <t>455.68 MW</t>
  </si>
  <si>
    <t>136.7 MW / 496.5 MWh</t>
  </si>
  <si>
    <t>FEM ENERGY XII, S. DE R.L. DE C.V.</t>
  </si>
  <si>
    <t xml:space="preserve"> Veracruz</t>
  </si>
  <si>
    <t>CENTRAL FOTOVOLTAICA QUASARA</t>
  </si>
  <si>
    <t>SuKarne</t>
  </si>
  <si>
    <t>Mexicali, Baja California</t>
  </si>
  <si>
    <t>150 MW</t>
  </si>
  <si>
    <t>45 MW / 135 MWh</t>
  </si>
  <si>
    <t>ENERGÍA FAMILIAR S.A. DE C.V.</t>
  </si>
  <si>
    <t>TIKINMUL</t>
  </si>
  <si>
    <t>Eléctrica Aselco</t>
  </si>
  <si>
    <t>Tikinmul, Campeche</t>
  </si>
  <si>
    <t>170 MW</t>
  </si>
  <si>
    <t>51 MW / 153 MWh</t>
  </si>
  <si>
    <t>ELÉCTRICA ASELCO, S.A. DE C.V.</t>
  </si>
  <si>
    <t>EL PALMAR</t>
  </si>
  <si>
    <t>Los Cabos, Baja California Sur</t>
  </si>
  <si>
    <t>120 MW</t>
  </si>
  <si>
    <t>36 MW / 108 MWh</t>
  </si>
  <si>
    <t>LA PASIÓN</t>
  </si>
  <si>
    <t>66 MW</t>
  </si>
  <si>
    <t>19.8 MW / 59.4 MWh</t>
  </si>
  <si>
    <t>SAN PEDRO SOLAR</t>
  </si>
  <si>
    <t>Elawan Wind Mexico III</t>
  </si>
  <si>
    <t>Huimalpan, Querétaro</t>
  </si>
  <si>
    <t>98.2 MW</t>
  </si>
  <si>
    <t>29.46 MW / 88.38 MWh</t>
  </si>
  <si>
    <t>ELAWAN ENERGY MÉXICO, S.A. DE C.V.</t>
  </si>
  <si>
    <t xml:space="preserve"> Querétaro</t>
  </si>
  <si>
    <t>Huimalpan</t>
  </si>
  <si>
    <t>ENERGÍA LIMPIA EL MEZQUITE</t>
  </si>
  <si>
    <t>Cúbico</t>
  </si>
  <si>
    <t>Mina, Nuevo León</t>
  </si>
  <si>
    <t>300 MW</t>
  </si>
  <si>
    <t>90 MW / 270 MWh</t>
  </si>
  <si>
    <t>CUBICO MÉXICO, S. DE R.L. DE C.V.</t>
  </si>
  <si>
    <t xml:space="preserve"> Nuevo León</t>
  </si>
  <si>
    <t>PARQUE FV ENERGÍAS RENOVABLES DE MÉXICO TRES</t>
  </si>
  <si>
    <t>Hecelchakán, Campeche</t>
  </si>
  <si>
    <t>72 MW</t>
  </si>
  <si>
    <t>21.6 MW / 64.8 MWh</t>
  </si>
  <si>
    <t>PARQUE FV ENERGÍAS RENOVABLES SAAS (PETO)</t>
  </si>
  <si>
    <t>Peto, Yucatán</t>
  </si>
  <si>
    <t>PARQUE FV ENERGÍAS RENOVABLES KIIN (TEKAX)</t>
  </si>
  <si>
    <t>Tekax, Yucatán</t>
  </si>
  <si>
    <t>56 MW</t>
  </si>
  <si>
    <t>16.8 MW / 50.4 MWh</t>
  </si>
  <si>
    <t>PARQUE FV ENERGÍAS RENOVABLES DE TAMAULIPAS</t>
  </si>
  <si>
    <t>Altamira, Tamaulipas</t>
  </si>
  <si>
    <t>78 MW</t>
  </si>
  <si>
    <t>25.69 MW / 82.22 MWh</t>
  </si>
  <si>
    <t>VIENTO DE BELLA UNIÓN</t>
  </si>
  <si>
    <t>Arteaga, Coahuila</t>
  </si>
  <si>
    <t>40.9 MW / 122.7 MWh</t>
  </si>
  <si>
    <t xml:space="preserve">CONTROLADORA MÉXICO LAGUNA, S.A. DE C.V. </t>
  </si>
  <si>
    <t>DALIA 3 PV (CASTAMAY)</t>
  </si>
  <si>
    <t>Atlántica</t>
  </si>
  <si>
    <t>Castamay, Campeche</t>
  </si>
  <si>
    <t>100 MW</t>
  </si>
  <si>
    <t>30 MW / 90 MWh</t>
  </si>
  <si>
    <t>ATLANTICA RENEWABLE POWER MÉXICO, S. DE R.L. DE C.V.</t>
  </si>
  <si>
    <t>Castamay</t>
  </si>
  <si>
    <t>FRESNILLO (PV ATOCHA)</t>
  </si>
  <si>
    <t>Fresnillo, Zacatecas</t>
  </si>
  <si>
    <t xml:space="preserve"> Zacatecas</t>
  </si>
  <si>
    <t>ENERGEO LOS MOLINOS</t>
  </si>
  <si>
    <t>Matamoros, Tamaulipas</t>
  </si>
  <si>
    <t>171 MW</t>
  </si>
  <si>
    <t>51.3 MW / 153.9 MWh</t>
  </si>
  <si>
    <t>ADMINISTRADORA THERMION, S.A. DE C.V.</t>
  </si>
  <si>
    <t>MONTECRISTO</t>
  </si>
  <si>
    <t>510 MW</t>
  </si>
  <si>
    <t>153 MW / 459 MWh</t>
  </si>
  <si>
    <t>SOL DE SONORA - 70</t>
  </si>
  <si>
    <t>Hermosillo, Sonora</t>
  </si>
  <si>
    <t>70 MW</t>
  </si>
  <si>
    <t>22 MW / 66 MWh</t>
  </si>
  <si>
    <t>PV MOQUEL SOLAR</t>
  </si>
  <si>
    <t>Champotón, Campeche</t>
  </si>
  <si>
    <t>25.6 MW / 76.7 MWh</t>
  </si>
  <si>
    <t>IDEAL EXECUTION SPV, S.A. DE C.V.</t>
  </si>
  <si>
    <t>SELKA POWER PLANT I</t>
  </si>
  <si>
    <t>Selka Power</t>
  </si>
  <si>
    <t>Romita, Guanajuato</t>
  </si>
  <si>
    <t>141.4 MW</t>
  </si>
  <si>
    <t>42.42 MW / 127.26 MWh</t>
  </si>
  <si>
    <t>SELKA KAPITAL, S.A.P.I. DE C.V. &amp; ENERCLIMA, S. DE R.L. DE C.V.</t>
  </si>
  <si>
    <t xml:space="preserve"> Guanajuato</t>
  </si>
  <si>
    <t>CONCEPCIÓN MENDIZÁBAL MENDOZA FASE I</t>
  </si>
  <si>
    <t>Atlas Renewable Energy</t>
  </si>
  <si>
    <t>Nava, Coahuila</t>
  </si>
  <si>
    <t>339 MW</t>
  </si>
  <si>
    <t>101.7 MW / 305.1 MWh</t>
  </si>
  <si>
    <t>SIN DATO</t>
  </si>
  <si>
    <t>CONCEPCIÓN MENDIZÁBAL MENDOZA FASE II</t>
  </si>
  <si>
    <t>180 MW</t>
  </si>
  <si>
    <t>54 MW / 162 MWh</t>
  </si>
  <si>
    <t>CONCEPCIÓN MENDIZÁBAL MENDOZA FASE III</t>
  </si>
  <si>
    <t>GLOBAL SOLAR 3 CAMPECHE</t>
  </si>
  <si>
    <t>Alten</t>
  </si>
  <si>
    <t>El Carmen, Campeche</t>
  </si>
  <si>
    <t>125 MW</t>
  </si>
  <si>
    <t>37.5 MW / 112.5 MWh</t>
  </si>
  <si>
    <t>CFV LAS GARZAS</t>
  </si>
  <si>
    <t>MIP Freeman Energy</t>
  </si>
  <si>
    <t>Lerdo, Durango</t>
  </si>
  <si>
    <t>270 MW</t>
  </si>
  <si>
    <t>81 MW / 243 MWh (POR CONFIRMAR</t>
  </si>
  <si>
    <t>3.00 (POR CONFIRMAR)</t>
  </si>
  <si>
    <t xml:space="preserve"> Durango</t>
  </si>
  <si>
    <t>CIMARRÓN SOLAR</t>
  </si>
  <si>
    <t>CSQB Energy</t>
  </si>
  <si>
    <t>90 MW / 270 MWh (POR CONFIRMAR)</t>
  </si>
  <si>
    <t>SUNORA</t>
  </si>
  <si>
    <t>LA POZA SOLAR</t>
  </si>
  <si>
    <t>SIERRA MADRE [EL CHORRO] (2DA RONDA)</t>
  </si>
  <si>
    <t>Villa de Casas y Güemes, Tamaulipas</t>
  </si>
  <si>
    <t>580 MW (POR CONFIRMAR)</t>
  </si>
  <si>
    <t>174 MW / 522 MWh (POR CONFIRMAR)</t>
  </si>
  <si>
    <t>Villa de Casas y Güemes</t>
  </si>
  <si>
    <t>DELARO (2DA RONDA)</t>
  </si>
  <si>
    <t>117 MW (POR CONFIRMAR)</t>
  </si>
  <si>
    <t>TOTAL GLOBAL</t>
  </si>
  <si>
    <t>TOTAL (FV)</t>
  </si>
  <si>
    <t>TOTAL (EO)</t>
  </si>
  <si>
    <t>6 PROYECTOS</t>
  </si>
  <si>
    <t>PROMEDIO TOTAL</t>
  </si>
  <si>
    <t>PROMEDIO (FV)</t>
  </si>
  <si>
    <t>PROMEDIO(EO)</t>
  </si>
  <si>
    <t>PROMEDIO TOTAL (CAPEX/MW)</t>
  </si>
  <si>
    <t>PROMEDIO (FV)  (CAPEX/MW)</t>
  </si>
  <si>
    <t>PROMEDIO(EO)  (CAPEX/MW)</t>
  </si>
  <si>
    <t>35.1 MW / 105.3 MWh (POR CONFIRMAR)</t>
  </si>
  <si>
    <t>Inicio de Inversión</t>
  </si>
  <si>
    <t>Enhol &amp; GEMEX [Terralia]</t>
  </si>
  <si>
    <t>CAZADERO SOLAR, S. DE R.L. DE C.V.</t>
  </si>
  <si>
    <t>ABE1 EPC MÉXICO, S.A. DE C.V.</t>
  </si>
  <si>
    <t>26 PROYECTOS</t>
  </si>
  <si>
    <t>32 PROYECTOS</t>
  </si>
  <si>
    <t>Rev 3</t>
  </si>
  <si>
    <r>
      <t>Celdas en color verde claro:</t>
    </r>
    <r>
      <rPr>
        <sz val="9"/>
        <rFont val="Aptos Narrow"/>
        <family val="2"/>
      </rPr>
      <t xml:space="preserve"> N/A y Liberado = listo a un 100 %</t>
    </r>
  </si>
  <si>
    <t>En elaboración</t>
  </si>
  <si>
    <t>En actualización</t>
  </si>
  <si>
    <r>
      <t xml:space="preserve">Celdas color rojo: </t>
    </r>
    <r>
      <rPr>
        <sz val="9"/>
        <rFont val="Aptos Narrow"/>
        <family val="2"/>
      </rPr>
      <t>En elaboración por parte del socio</t>
    </r>
  </si>
  <si>
    <t>En evaluación</t>
  </si>
  <si>
    <r>
      <t xml:space="preserve">Celdas amarillas: </t>
    </r>
    <r>
      <rPr>
        <sz val="9"/>
        <rFont val="Aptos Narrow"/>
        <family val="2"/>
      </rPr>
      <t xml:space="preserve"> En evaluación, en espera de respuesta por la autoridad</t>
    </r>
  </si>
  <si>
    <t>MIA / DTU</t>
  </si>
  <si>
    <t>MISSE / EVIS</t>
  </si>
  <si>
    <r>
      <t xml:space="preserve">Celdas azules: </t>
    </r>
    <r>
      <rPr>
        <sz val="9"/>
        <rFont val="Aptos Narrow"/>
        <family val="2"/>
      </rPr>
      <t>En actualización, trámiteque ingresó el socio en donde la autoridad pide información adicional o precisiones y/o actualizaciones por cambios del socio</t>
    </r>
  </si>
  <si>
    <t>117 MW + 30% BESS</t>
  </si>
  <si>
    <t>468 MW + 30% BESS</t>
  </si>
  <si>
    <t>TÍTULO 1</t>
  </si>
  <si>
    <t>PRIORI</t>
  </si>
  <si>
    <t>name_BD</t>
  </si>
  <si>
    <t>DI_P</t>
  </si>
  <si>
    <t>DI_LT</t>
  </si>
  <si>
    <t>ES_INT</t>
  </si>
  <si>
    <t>A_MIA_P</t>
  </si>
  <si>
    <t>A_MIA_LT</t>
  </si>
  <si>
    <t>A_ETJ_P</t>
  </si>
  <si>
    <t>A_ETJ_LT</t>
  </si>
  <si>
    <t>S_MISSE_C</t>
  </si>
  <si>
    <t>S_MISSE_LT</t>
  </si>
  <si>
    <t>S_CONS</t>
  </si>
  <si>
    <t>INAH_C</t>
  </si>
  <si>
    <t>INAH_LT</t>
  </si>
  <si>
    <t>PEMEX_C</t>
  </si>
  <si>
    <t>PEMEX_LT</t>
  </si>
  <si>
    <t>CONA_C</t>
  </si>
  <si>
    <t>CONA_LT</t>
  </si>
  <si>
    <t>AFAC_C</t>
  </si>
  <si>
    <t>AFAC_LT</t>
  </si>
  <si>
    <t>15 de noviembre de 2026</t>
  </si>
  <si>
    <t>31 de diciembre de 2028</t>
  </si>
  <si>
    <t>03 de julio de 2026</t>
  </si>
  <si>
    <t>P</t>
  </si>
  <si>
    <t>01 de abril de 2027</t>
  </si>
  <si>
    <t>01 de abril de 2029</t>
  </si>
  <si>
    <t>08 de julio de 2026</t>
  </si>
  <si>
    <t>NoP</t>
  </si>
  <si>
    <t>01 de enero de 2027</t>
  </si>
  <si>
    <t>29 de septiembre de 2028</t>
  </si>
  <si>
    <t>30 de abril de 2027</t>
  </si>
  <si>
    <t>28 de octubre de 2028</t>
  </si>
  <si>
    <t>13 de julio de 2026</t>
  </si>
  <si>
    <t>31 de octubre de 2028</t>
  </si>
  <si>
    <t>20 de diciembre de 2026</t>
  </si>
  <si>
    <t>01 de diciembre de 2028</t>
  </si>
  <si>
    <t>01 de marzo de 2027</t>
  </si>
  <si>
    <t>28 de noviembre de 2028</t>
  </si>
  <si>
    <t>01 de noviembre de 2026</t>
  </si>
  <si>
    <t>01 de abril de 2028</t>
  </si>
  <si>
    <t>30 de noviembre de 2026</t>
  </si>
  <si>
    <t>31 de marzo de 2029</t>
  </si>
  <si>
    <t>30 de agosto de 2029</t>
  </si>
  <si>
    <t>01 de enero de 2029</t>
  </si>
  <si>
    <t>15 de marzo de 2027</t>
  </si>
  <si>
    <t>30 de abril de 2029</t>
  </si>
  <si>
    <t>06 de marzo de 2027</t>
  </si>
  <si>
    <t>31 de marzo de 2028</t>
  </si>
  <si>
    <t>09 de julio de 2026</t>
  </si>
  <si>
    <t>01 de julio de 2029</t>
  </si>
  <si>
    <t>01 de noviembre de 2028</t>
  </si>
  <si>
    <t>01 de julio de 2028</t>
  </si>
  <si>
    <t>15 de diciembre de 2026</t>
  </si>
  <si>
    <t>01 de diciembre de 2026</t>
  </si>
  <si>
    <t>01 de junio de 2028</t>
  </si>
  <si>
    <t>18 de septiembre de 2026</t>
  </si>
  <si>
    <t>VER FASE II</t>
  </si>
  <si>
    <t>31 de marzo de 2027</t>
  </si>
  <si>
    <t>03 de julio de 2029</t>
  </si>
  <si>
    <t>BESS TEÓRICO (%)</t>
  </si>
  <si>
    <t>BESS TEÓRICO (MW)</t>
  </si>
  <si>
    <t>BESS REAL (%)</t>
  </si>
  <si>
    <t>BESS REAL (MW)</t>
  </si>
  <si>
    <t>NO._HA</t>
  </si>
  <si>
    <t>455.68 MW + 30% 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</si>
</sst>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[$-80A]dd&quot; de &quot;mmmm&quot; de &quot;yyyy;@"/>
    <numFmt numFmtId="165" formatCode="0.000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name val="Aptos Narrow"/>
      <family val="2"/>
    </font>
    <font>
      <sz val="10"/>
      <name val="Aptos Narrow"/>
      <family val="2"/>
    </font>
    <font>
      <b/>
      <sz val="9"/>
      <name val="Aptos Narrow"/>
      <family val="2"/>
    </font>
    <font>
      <sz val="10"/>
      <color rgb="FF000000"/>
      <name val="Aptos Narrow"/>
      <family val="2"/>
    </font>
    <font>
      <b/>
      <sz val="16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2"/>
      <color theme="1"/>
      <name val="Arial"/>
      <family val="2"/>
    </font>
    <font>
      <b/>
      <i/>
      <sz val="14"/>
      <color theme="1"/>
      <name val="Arial"/>
      <family val="2"/>
    </font>
    <font>
      <b/>
      <sz val="12"/>
      <color theme="0"/>
      <name val="Aptos Narrow"/>
      <family val="2"/>
    </font>
    <font>
      <sz val="10"/>
      <color theme="0"/>
      <name val="Arial"/>
      <family val="2"/>
    </font>
    <font>
      <b/>
      <sz val="10"/>
      <color theme="0"/>
      <name val="Aptos Narrow"/>
      <family val="2"/>
    </font>
    <font>
      <sz val="7"/>
      <name val="Aptos Narrow"/>
      <family val="2"/>
    </font>
    <font>
      <b/>
      <sz val="8"/>
      <name val="Aptos Narrow"/>
      <family val="2"/>
    </font>
    <font>
      <sz val="9"/>
      <name val="Aptos Narrow"/>
      <family val="2"/>
    </font>
    <font>
      <b/>
      <sz val="9"/>
      <color theme="0"/>
      <name val="Aptos Narrow"/>
      <family val="2"/>
    </font>
    <font>
      <sz val="10"/>
      <color rgb="FFFF0000"/>
      <name val="Aptos Narrow"/>
      <family val="2"/>
    </font>
    <font>
      <sz val="9"/>
      <color rgb="FFFF0000"/>
      <name val="Aptos Narrow"/>
      <family val="2"/>
    </font>
    <font>
      <sz val="10"/>
      <color theme="1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thin">
        <color indexed="64"/>
      </top>
      <bottom/>
      <diagonal/>
    </border>
    <border>
      <left style="medium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medium">
        <color auto="1"/>
      </right>
      <top style="thin">
        <color indexed="64"/>
      </top>
      <bottom/>
      <diagonal/>
    </border>
    <border>
      <left style="hair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8">
    <xf numFmtId="0" fontId="0" fillId="0" borderId="0"/>
    <xf numFmtId="0" fontId="8" fillId="0" borderId="0"/>
    <xf numFmtId="9" fontId="10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583">
    <xf numFmtId="0" fontId="0" fillId="0" borderId="0" xfId="0"/>
    <xf numFmtId="10" fontId="12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1" fillId="4" borderId="115" xfId="0" applyFont="1" applyFill="1" applyBorder="1" applyAlignment="1">
      <alignment horizontal="center" vertical="center"/>
    </xf>
    <xf numFmtId="9" fontId="11" fillId="4" borderId="87" xfId="0" applyNumberFormat="1" applyFont="1" applyFill="1" applyBorder="1" applyAlignment="1">
      <alignment horizontal="center" vertical="center"/>
    </xf>
    <xf numFmtId="0" fontId="11" fillId="4" borderId="114" xfId="0" applyFont="1" applyFill="1" applyBorder="1" applyAlignment="1">
      <alignment horizontal="center" vertical="center"/>
    </xf>
    <xf numFmtId="9" fontId="11" fillId="4" borderId="116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vertical="center"/>
    </xf>
    <xf numFmtId="0" fontId="11" fillId="0" borderId="121" xfId="0" applyFont="1" applyBorder="1"/>
    <xf numFmtId="0" fontId="11" fillId="0" borderId="64" xfId="0" applyFont="1" applyBorder="1" applyAlignment="1">
      <alignment horizontal="center"/>
    </xf>
    <xf numFmtId="0" fontId="11" fillId="0" borderId="64" xfId="0" applyFont="1" applyBorder="1" applyAlignment="1">
      <alignment horizontal="center" vertical="center"/>
    </xf>
    <xf numFmtId="0" fontId="11" fillId="0" borderId="64" xfId="0" applyFont="1" applyBorder="1" applyAlignment="1">
      <alignment horizontal="right" vertical="center"/>
    </xf>
    <xf numFmtId="0" fontId="12" fillId="0" borderId="64" xfId="0" applyFont="1" applyBorder="1" applyAlignment="1">
      <alignment vertical="center"/>
    </xf>
    <xf numFmtId="0" fontId="12" fillId="0" borderId="64" xfId="0" applyFont="1" applyBorder="1"/>
    <xf numFmtId="0" fontId="18" fillId="0" borderId="122" xfId="0" applyFont="1" applyBorder="1" applyAlignment="1">
      <alignment horizontal="right" vertical="center"/>
    </xf>
    <xf numFmtId="0" fontId="11" fillId="0" borderId="123" xfId="0" applyFont="1" applyBorder="1"/>
    <xf numFmtId="0" fontId="17" fillId="0" borderId="124" xfId="0" applyFont="1" applyBorder="1" applyAlignment="1">
      <alignment horizontal="right" vertical="center"/>
    </xf>
    <xf numFmtId="0" fontId="16" fillId="0" borderId="124" xfId="0" applyFont="1" applyBorder="1" applyAlignment="1">
      <alignment horizontal="right" vertical="center"/>
    </xf>
    <xf numFmtId="0" fontId="12" fillId="0" borderId="125" xfId="0" applyFont="1" applyBorder="1"/>
    <xf numFmtId="0" fontId="12" fillId="0" borderId="65" xfId="0" applyFont="1" applyBorder="1" applyAlignment="1">
      <alignment horizontal="center"/>
    </xf>
    <xf numFmtId="0" fontId="12" fillId="0" borderId="65" xfId="0" applyFont="1" applyBorder="1"/>
    <xf numFmtId="0" fontId="11" fillId="5" borderId="117" xfId="0" applyFont="1" applyFill="1" applyBorder="1" applyAlignment="1">
      <alignment horizontal="center" vertical="center"/>
    </xf>
    <xf numFmtId="0" fontId="11" fillId="5" borderId="115" xfId="0" applyFont="1" applyFill="1" applyBorder="1" applyAlignment="1">
      <alignment horizontal="center" vertical="center"/>
    </xf>
    <xf numFmtId="9" fontId="11" fillId="5" borderId="81" xfId="0" applyNumberFormat="1" applyFont="1" applyFill="1" applyBorder="1" applyAlignment="1">
      <alignment horizontal="center" vertical="center"/>
    </xf>
    <xf numFmtId="9" fontId="11" fillId="5" borderId="87" xfId="0" applyNumberFormat="1" applyFont="1" applyFill="1" applyBorder="1" applyAlignment="1">
      <alignment horizontal="center" vertical="center"/>
    </xf>
    <xf numFmtId="0" fontId="11" fillId="5" borderId="40" xfId="0" applyFont="1" applyFill="1" applyBorder="1" applyAlignment="1">
      <alignment horizontal="center" vertical="center"/>
    </xf>
    <xf numFmtId="0" fontId="11" fillId="5" borderId="43" xfId="0" applyFont="1" applyFill="1" applyBorder="1" applyAlignment="1">
      <alignment horizontal="center" vertical="center"/>
    </xf>
    <xf numFmtId="0" fontId="11" fillId="5" borderId="41" xfId="0" applyFont="1" applyFill="1" applyBorder="1" applyAlignment="1">
      <alignment horizontal="center" vertical="center"/>
    </xf>
    <xf numFmtId="0" fontId="11" fillId="5" borderId="42" xfId="0" applyFont="1" applyFill="1" applyBorder="1" applyAlignment="1">
      <alignment horizontal="center" vertical="center"/>
    </xf>
    <xf numFmtId="0" fontId="11" fillId="5" borderId="71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0" borderId="0" xfId="0" applyFont="1"/>
    <xf numFmtId="0" fontId="22" fillId="0" borderId="0" xfId="0" applyFont="1"/>
    <xf numFmtId="0" fontId="12" fillId="0" borderId="121" xfId="0" applyFont="1" applyBorder="1" applyAlignment="1">
      <alignment horizontal="center"/>
    </xf>
    <xf numFmtId="0" fontId="12" fillId="0" borderId="123" xfId="0" applyFont="1" applyBorder="1" applyAlignment="1">
      <alignment horizontal="center"/>
    </xf>
    <xf numFmtId="0" fontId="12" fillId="0" borderId="125" xfId="0" applyFont="1" applyBorder="1" applyAlignment="1">
      <alignment horizontal="center"/>
    </xf>
    <xf numFmtId="0" fontId="12" fillId="0" borderId="122" xfId="0" applyFont="1" applyBorder="1"/>
    <xf numFmtId="0" fontId="12" fillId="0" borderId="124" xfId="0" applyFont="1" applyBorder="1"/>
    <xf numFmtId="0" fontId="12" fillId="0" borderId="89" xfId="0" applyFont="1" applyBorder="1"/>
    <xf numFmtId="0" fontId="23" fillId="0" borderId="46" xfId="0" applyFont="1" applyBorder="1" applyAlignment="1">
      <alignment horizontal="right"/>
    </xf>
    <xf numFmtId="0" fontId="23" fillId="0" borderId="48" xfId="0" applyFont="1" applyBorder="1" applyAlignment="1">
      <alignment horizontal="right"/>
    </xf>
    <xf numFmtId="0" fontId="12" fillId="0" borderId="65" xfId="0" applyFont="1" applyBorder="1" applyAlignment="1">
      <alignment vertical="center"/>
    </xf>
    <xf numFmtId="10" fontId="21" fillId="6" borderId="40" xfId="2" applyNumberFormat="1" applyFont="1" applyFill="1" applyBorder="1" applyAlignment="1">
      <alignment horizontal="center" vertical="center"/>
    </xf>
    <xf numFmtId="10" fontId="21" fillId="6" borderId="73" xfId="2" applyNumberFormat="1" applyFont="1" applyFill="1" applyBorder="1" applyAlignment="1">
      <alignment horizontal="center" vertical="center"/>
    </xf>
    <xf numFmtId="10" fontId="21" fillId="6" borderId="87" xfId="0" applyNumberFormat="1" applyFont="1" applyFill="1" applyBorder="1" applyAlignment="1">
      <alignment horizontal="center" vertical="center"/>
    </xf>
    <xf numFmtId="15" fontId="23" fillId="0" borderId="48" xfId="0" applyNumberFormat="1" applyFont="1" applyBorder="1" applyAlignment="1">
      <alignment horizontal="right"/>
    </xf>
    <xf numFmtId="0" fontId="19" fillId="6" borderId="131" xfId="0" applyFont="1" applyFill="1" applyBorder="1"/>
    <xf numFmtId="10" fontId="13" fillId="0" borderId="31" xfId="0" applyNumberFormat="1" applyFont="1" applyBorder="1" applyAlignment="1">
      <alignment horizontal="center" vertical="center"/>
    </xf>
    <xf numFmtId="10" fontId="13" fillId="0" borderId="120" xfId="0" applyNumberFormat="1" applyFont="1" applyBorder="1" applyAlignment="1">
      <alignment horizontal="center" vertical="center"/>
    </xf>
    <xf numFmtId="10" fontId="13" fillId="0" borderId="56" xfId="0" applyNumberFormat="1" applyFont="1" applyBorder="1" applyAlignment="1">
      <alignment horizontal="center" vertical="center"/>
    </xf>
    <xf numFmtId="10" fontId="13" fillId="0" borderId="27" xfId="0" applyNumberFormat="1" applyFont="1" applyBorder="1" applyAlignment="1">
      <alignment horizontal="center" vertical="center"/>
    </xf>
    <xf numFmtId="10" fontId="13" fillId="0" borderId="126" xfId="0" applyNumberFormat="1" applyFont="1" applyBorder="1" applyAlignment="1">
      <alignment horizontal="center" vertical="center"/>
    </xf>
    <xf numFmtId="10" fontId="13" fillId="0" borderId="50" xfId="0" applyNumberFormat="1" applyFont="1" applyBorder="1" applyAlignment="1">
      <alignment horizontal="center" vertical="center"/>
    </xf>
    <xf numFmtId="10" fontId="13" fillId="0" borderId="35" xfId="0" applyNumberFormat="1" applyFont="1" applyBorder="1" applyAlignment="1">
      <alignment horizontal="center" vertical="center"/>
    </xf>
    <xf numFmtId="10" fontId="13" fillId="0" borderId="127" xfId="0" applyNumberFormat="1" applyFont="1" applyBorder="1" applyAlignment="1">
      <alignment horizontal="center" vertical="center"/>
    </xf>
    <xf numFmtId="10" fontId="13" fillId="0" borderId="59" xfId="0" applyNumberFormat="1" applyFont="1" applyBorder="1" applyAlignment="1">
      <alignment horizontal="center" vertical="center"/>
    </xf>
    <xf numFmtId="0" fontId="11" fillId="8" borderId="132" xfId="0" applyFont="1" applyFill="1" applyBorder="1" applyAlignment="1">
      <alignment horizontal="center" vertical="center"/>
    </xf>
    <xf numFmtId="0" fontId="11" fillId="8" borderId="77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10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24" fillId="0" borderId="139" xfId="0" applyFont="1" applyBorder="1" applyAlignment="1">
      <alignment vertical="center"/>
    </xf>
    <xf numFmtId="0" fontId="24" fillId="0" borderId="34" xfId="0" applyFont="1" applyBorder="1" applyAlignment="1">
      <alignment vertical="center"/>
    </xf>
    <xf numFmtId="0" fontId="24" fillId="0" borderId="140" xfId="0" applyFont="1" applyBorder="1" applyAlignment="1">
      <alignment vertical="center"/>
    </xf>
    <xf numFmtId="0" fontId="24" fillId="0" borderId="135" xfId="0" applyFont="1" applyBorder="1"/>
    <xf numFmtId="0" fontId="24" fillId="0" borderId="136" xfId="0" applyFont="1" applyBorder="1"/>
    <xf numFmtId="0" fontId="24" fillId="0" borderId="134" xfId="0" applyFont="1" applyBorder="1" applyAlignment="1">
      <alignment vertical="center"/>
    </xf>
    <xf numFmtId="0" fontId="24" fillId="0" borderId="135" xfId="0" applyFont="1" applyBorder="1" applyAlignment="1">
      <alignment vertical="center"/>
    </xf>
    <xf numFmtId="10" fontId="21" fillId="6" borderId="131" xfId="0" applyNumberFormat="1" applyFont="1" applyFill="1" applyBorder="1" applyAlignment="1">
      <alignment horizontal="center" vertical="center"/>
    </xf>
    <xf numFmtId="10" fontId="21" fillId="6" borderId="141" xfId="0" applyNumberFormat="1" applyFont="1" applyFill="1" applyBorder="1" applyAlignment="1">
      <alignment horizontal="center" vertical="center"/>
    </xf>
    <xf numFmtId="10" fontId="21" fillId="6" borderId="133" xfId="0" applyNumberFormat="1" applyFont="1" applyFill="1" applyBorder="1" applyAlignment="1">
      <alignment horizontal="center" vertical="center"/>
    </xf>
    <xf numFmtId="0" fontId="21" fillId="6" borderId="137" xfId="0" applyFont="1" applyFill="1" applyBorder="1" applyAlignment="1">
      <alignment horizontal="right" vertical="center" wrapText="1"/>
    </xf>
    <xf numFmtId="0" fontId="24" fillId="0" borderId="139" xfId="0" applyFont="1" applyBorder="1" applyAlignment="1">
      <alignment vertical="center" wrapText="1"/>
    </xf>
    <xf numFmtId="0" fontId="11" fillId="7" borderId="80" xfId="0" applyFont="1" applyFill="1" applyBorder="1" applyAlignment="1">
      <alignment horizontal="center" vertical="center"/>
    </xf>
    <xf numFmtId="0" fontId="21" fillId="6" borderId="129" xfId="0" applyFont="1" applyFill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14" fontId="24" fillId="0" borderId="145" xfId="0" applyNumberFormat="1" applyFont="1" applyBorder="1" applyAlignment="1">
      <alignment horizontal="center" vertical="center"/>
    </xf>
    <xf numFmtId="14" fontId="24" fillId="0" borderId="32" xfId="0" applyNumberFormat="1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14" fontId="24" fillId="0" borderId="146" xfId="0" applyNumberFormat="1" applyFont="1" applyBorder="1" applyAlignment="1">
      <alignment horizontal="center" vertical="center"/>
    </xf>
    <xf numFmtId="14" fontId="24" fillId="0" borderId="28" xfId="0" applyNumberFormat="1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4" fillId="0" borderId="7" xfId="0" applyFont="1" applyBorder="1"/>
    <xf numFmtId="0" fontId="24" fillId="0" borderId="56" xfId="0" applyFont="1" applyBorder="1" applyAlignment="1">
      <alignment horizontal="center" vertical="center"/>
    </xf>
    <xf numFmtId="0" fontId="24" fillId="0" borderId="6" xfId="0" applyFont="1" applyBorder="1"/>
    <xf numFmtId="0" fontId="24" fillId="0" borderId="50" xfId="0" applyFont="1" applyBorder="1" applyAlignment="1">
      <alignment horizontal="center" vertical="center"/>
    </xf>
    <xf numFmtId="0" fontId="27" fillId="0" borderId="6" xfId="0" applyFont="1" applyBorder="1"/>
    <xf numFmtId="0" fontId="24" fillId="0" borderId="37" xfId="0" applyFont="1" applyBorder="1"/>
    <xf numFmtId="0" fontId="24" fillId="0" borderId="59" xfId="0" applyFont="1" applyBorder="1" applyAlignment="1">
      <alignment horizontal="center" vertical="center"/>
    </xf>
    <xf numFmtId="14" fontId="27" fillId="0" borderId="146" xfId="0" applyNumberFormat="1" applyFont="1" applyBorder="1" applyAlignment="1">
      <alignment horizontal="center" vertical="center"/>
    </xf>
    <xf numFmtId="14" fontId="27" fillId="0" borderId="28" xfId="0" applyNumberFormat="1" applyFont="1" applyBorder="1" applyAlignment="1">
      <alignment horizontal="center" vertical="center"/>
    </xf>
    <xf numFmtId="0" fontId="27" fillId="0" borderId="37" xfId="0" applyFont="1" applyBorder="1"/>
    <xf numFmtId="0" fontId="27" fillId="0" borderId="35" xfId="0" applyFont="1" applyBorder="1" applyAlignment="1">
      <alignment horizontal="center" vertical="center"/>
    </xf>
    <xf numFmtId="14" fontId="27" fillId="0" borderId="151" xfId="0" applyNumberFormat="1" applyFont="1" applyBorder="1" applyAlignment="1">
      <alignment horizontal="center" vertical="center"/>
    </xf>
    <xf numFmtId="14" fontId="27" fillId="0" borderId="39" xfId="0" applyNumberFormat="1" applyFont="1" applyBorder="1" applyAlignment="1">
      <alignment horizontal="center" vertical="center"/>
    </xf>
    <xf numFmtId="0" fontId="24" fillId="0" borderId="55" xfId="0" applyFont="1" applyBorder="1"/>
    <xf numFmtId="0" fontId="24" fillId="0" borderId="49" xfId="0" applyFont="1" applyBorder="1"/>
    <xf numFmtId="0" fontId="24" fillId="0" borderId="58" xfId="0" applyFont="1" applyBorder="1"/>
    <xf numFmtId="0" fontId="21" fillId="6" borderId="142" xfId="0" applyFont="1" applyFill="1" applyBorder="1" applyAlignment="1">
      <alignment horizontal="center" vertical="center" wrapText="1"/>
    </xf>
    <xf numFmtId="0" fontId="21" fillId="6" borderId="139" xfId="0" applyFont="1" applyFill="1" applyBorder="1" applyAlignment="1">
      <alignment horizontal="center" vertical="center" wrapText="1"/>
    </xf>
    <xf numFmtId="0" fontId="19" fillId="6" borderId="46" xfId="0" applyFont="1" applyFill="1" applyBorder="1" applyAlignment="1">
      <alignment horizontal="center" vertical="center"/>
    </xf>
    <xf numFmtId="0" fontId="19" fillId="6" borderId="45" xfId="0" applyFont="1" applyFill="1" applyBorder="1" applyAlignment="1">
      <alignment horizontal="center" vertical="center"/>
    </xf>
    <xf numFmtId="0" fontId="19" fillId="6" borderId="44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1" fillId="8" borderId="132" xfId="0" quotePrefix="1" applyFont="1" applyFill="1" applyBorder="1" applyAlignment="1">
      <alignment horizontal="center" vertical="center"/>
    </xf>
    <xf numFmtId="9" fontId="12" fillId="0" borderId="0" xfId="2" applyFont="1"/>
    <xf numFmtId="0" fontId="19" fillId="6" borderId="61" xfId="0" applyFont="1" applyFill="1" applyBorder="1" applyAlignment="1">
      <alignment vertical="center"/>
    </xf>
    <xf numFmtId="0" fontId="19" fillId="6" borderId="62" xfId="0" applyFont="1" applyFill="1" applyBorder="1" applyAlignment="1">
      <alignment vertical="center"/>
    </xf>
    <xf numFmtId="0" fontId="19" fillId="6" borderId="63" xfId="0" applyFont="1" applyFill="1" applyBorder="1" applyAlignment="1">
      <alignment vertical="center"/>
    </xf>
    <xf numFmtId="0" fontId="21" fillId="6" borderId="138" xfId="0" applyFont="1" applyFill="1" applyBorder="1" applyAlignment="1">
      <alignment vertical="center" wrapText="1"/>
    </xf>
    <xf numFmtId="0" fontId="21" fillId="6" borderId="144" xfId="0" applyFont="1" applyFill="1" applyBorder="1" applyAlignment="1">
      <alignment vertical="center" wrapText="1"/>
    </xf>
    <xf numFmtId="0" fontId="21" fillId="6" borderId="140" xfId="0" applyFont="1" applyFill="1" applyBorder="1" applyAlignment="1">
      <alignment vertical="center" wrapText="1"/>
    </xf>
    <xf numFmtId="0" fontId="24" fillId="0" borderId="0" xfId="0" applyFont="1"/>
    <xf numFmtId="0" fontId="27" fillId="0" borderId="0" xfId="0" applyFont="1"/>
    <xf numFmtId="0" fontId="24" fillId="0" borderId="65" xfId="0" applyFont="1" applyBorder="1"/>
    <xf numFmtId="0" fontId="24" fillId="0" borderId="89" xfId="0" applyFont="1" applyBorder="1" applyAlignment="1">
      <alignment horizontal="center" vertical="center"/>
    </xf>
    <xf numFmtId="0" fontId="27" fillId="0" borderId="125" xfId="0" applyFont="1" applyBorder="1" applyAlignment="1">
      <alignment horizontal="center" vertical="center"/>
    </xf>
    <xf numFmtId="14" fontId="27" fillId="0" borderId="65" xfId="0" applyNumberFormat="1" applyFont="1" applyBorder="1" applyAlignment="1">
      <alignment horizontal="center" vertical="center"/>
    </xf>
    <xf numFmtId="10" fontId="13" fillId="0" borderId="138" xfId="0" applyNumberFormat="1" applyFont="1" applyBorder="1" applyAlignment="1">
      <alignment horizontal="center" vertical="center"/>
    </xf>
    <xf numFmtId="10" fontId="13" fillId="0" borderId="136" xfId="0" applyNumberFormat="1" applyFont="1" applyBorder="1" applyAlignment="1">
      <alignment horizontal="center" vertical="center"/>
    </xf>
    <xf numFmtId="10" fontId="13" fillId="0" borderId="89" xfId="0" applyNumberFormat="1" applyFont="1" applyBorder="1" applyAlignment="1">
      <alignment horizontal="center" vertical="center"/>
    </xf>
    <xf numFmtId="0" fontId="11" fillId="8" borderId="21" xfId="0" quotePrefix="1" applyFont="1" applyFill="1" applyBorder="1" applyAlignment="1">
      <alignment horizontal="center" vertical="center"/>
    </xf>
    <xf numFmtId="10" fontId="11" fillId="0" borderId="118" xfId="0" applyNumberFormat="1" applyFont="1" applyBorder="1" applyAlignment="1">
      <alignment horizontal="center" vertical="center"/>
    </xf>
    <xf numFmtId="10" fontId="11" fillId="0" borderId="119" xfId="0" applyNumberFormat="1" applyFont="1" applyBorder="1" applyAlignment="1">
      <alignment horizontal="center" vertical="center"/>
    </xf>
    <xf numFmtId="10" fontId="11" fillId="0" borderId="76" xfId="0" applyNumberFormat="1" applyFont="1" applyBorder="1" applyAlignment="1">
      <alignment horizontal="center" vertical="center"/>
    </xf>
    <xf numFmtId="10" fontId="11" fillId="0" borderId="49" xfId="0" applyNumberFormat="1" applyFont="1" applyBorder="1" applyAlignment="1">
      <alignment horizontal="center" vertical="center"/>
    </xf>
    <xf numFmtId="10" fontId="11" fillId="0" borderId="50" xfId="0" applyNumberFormat="1" applyFont="1" applyBorder="1" applyAlignment="1">
      <alignment horizontal="center" vertical="center"/>
    </xf>
    <xf numFmtId="10" fontId="11" fillId="0" borderId="77" xfId="0" applyNumberFormat="1" applyFont="1" applyBorder="1" applyAlignment="1">
      <alignment horizontal="center" vertical="center"/>
    </xf>
    <xf numFmtId="10" fontId="11" fillId="0" borderId="51" xfId="0" applyNumberFormat="1" applyFont="1" applyBorder="1" applyAlignment="1">
      <alignment horizontal="center" vertical="center"/>
    </xf>
    <xf numFmtId="10" fontId="11" fillId="0" borderId="52" xfId="0" applyNumberFormat="1" applyFont="1" applyBorder="1" applyAlignment="1">
      <alignment horizontal="center" vertical="center"/>
    </xf>
    <xf numFmtId="10" fontId="11" fillId="0" borderId="78" xfId="0" applyNumberFormat="1" applyFont="1" applyBorder="1" applyAlignment="1">
      <alignment horizontal="center" vertical="center"/>
    </xf>
    <xf numFmtId="0" fontId="24" fillId="0" borderId="146" xfId="0" applyFont="1" applyBorder="1" applyAlignment="1">
      <alignment vertical="center"/>
    </xf>
    <xf numFmtId="0" fontId="24" fillId="0" borderId="160" xfId="0" applyFont="1" applyBorder="1" applyAlignment="1">
      <alignment vertical="center"/>
    </xf>
    <xf numFmtId="14" fontId="24" fillId="0" borderId="160" xfId="0" applyNumberFormat="1" applyFont="1" applyBorder="1" applyAlignment="1">
      <alignment horizontal="center" vertical="center"/>
    </xf>
    <xf numFmtId="0" fontId="24" fillId="0" borderId="27" xfId="0" applyFont="1" applyBorder="1" applyAlignment="1">
      <alignment vertical="center"/>
    </xf>
    <xf numFmtId="0" fontId="24" fillId="0" borderId="35" xfId="0" applyFont="1" applyBorder="1" applyAlignment="1">
      <alignment vertical="center"/>
    </xf>
    <xf numFmtId="0" fontId="24" fillId="0" borderId="151" xfId="0" applyFont="1" applyBorder="1" applyAlignment="1">
      <alignment vertical="center"/>
    </xf>
    <xf numFmtId="14" fontId="24" fillId="0" borderId="151" xfId="0" applyNumberFormat="1" applyFont="1" applyBorder="1" applyAlignment="1">
      <alignment horizontal="center" vertical="center"/>
    </xf>
    <xf numFmtId="14" fontId="24" fillId="0" borderId="161" xfId="0" applyNumberFormat="1" applyFont="1" applyBorder="1" applyAlignment="1">
      <alignment horizontal="center" vertical="center"/>
    </xf>
    <xf numFmtId="14" fontId="24" fillId="0" borderId="126" xfId="0" applyNumberFormat="1" applyFont="1" applyBorder="1" applyAlignment="1">
      <alignment horizontal="center" vertical="center"/>
    </xf>
    <xf numFmtId="14" fontId="24" fillId="0" borderId="127" xfId="0" applyNumberFormat="1" applyFont="1" applyBorder="1" applyAlignment="1">
      <alignment horizontal="center" vertical="center"/>
    </xf>
    <xf numFmtId="0" fontId="23" fillId="0" borderId="122" xfId="0" applyFont="1" applyBorder="1" applyAlignment="1">
      <alignment horizontal="right"/>
    </xf>
    <xf numFmtId="0" fontId="23" fillId="0" borderId="124" xfId="0" applyFont="1" applyBorder="1" applyAlignment="1">
      <alignment horizontal="right"/>
    </xf>
    <xf numFmtId="15" fontId="23" fillId="0" borderId="124" xfId="0" applyNumberFormat="1" applyFont="1" applyBorder="1" applyAlignment="1">
      <alignment horizontal="right"/>
    </xf>
    <xf numFmtId="0" fontId="21" fillId="6" borderId="121" xfId="0" applyFont="1" applyFill="1" applyBorder="1" applyAlignment="1">
      <alignment horizontal="right" vertical="center" wrapText="1"/>
    </xf>
    <xf numFmtId="0" fontId="24" fillId="0" borderId="74" xfId="0" applyFont="1" applyBorder="1" applyAlignment="1">
      <alignment vertical="center"/>
    </xf>
    <xf numFmtId="0" fontId="24" fillId="0" borderId="60" xfId="0" applyFont="1" applyBorder="1" applyAlignment="1">
      <alignment vertical="center"/>
    </xf>
    <xf numFmtId="0" fontId="24" fillId="0" borderId="75" xfId="0" applyFont="1" applyBorder="1" applyAlignment="1">
      <alignment vertical="center"/>
    </xf>
    <xf numFmtId="0" fontId="24" fillId="0" borderId="74" xfId="0" applyFont="1" applyBorder="1" applyAlignment="1">
      <alignment vertical="center" wrapText="1"/>
    </xf>
    <xf numFmtId="0" fontId="24" fillId="8" borderId="74" xfId="0" applyFont="1" applyFill="1" applyBorder="1" applyAlignment="1">
      <alignment vertical="center"/>
    </xf>
    <xf numFmtId="0" fontId="24" fillId="7" borderId="60" xfId="0" applyFont="1" applyFill="1" applyBorder="1" applyAlignment="1">
      <alignment vertical="center"/>
    </xf>
    <xf numFmtId="0" fontId="24" fillId="9" borderId="75" xfId="0" applyFont="1" applyFill="1" applyBorder="1" applyAlignment="1">
      <alignment vertical="center"/>
    </xf>
    <xf numFmtId="0" fontId="11" fillId="8" borderId="76" xfId="0" applyFont="1" applyFill="1" applyBorder="1" applyAlignment="1">
      <alignment horizontal="center" vertical="center"/>
    </xf>
    <xf numFmtId="0" fontId="7" fillId="0" borderId="0" xfId="3"/>
    <xf numFmtId="0" fontId="7" fillId="0" borderId="2" xfId="3" applyBorder="1" applyAlignment="1">
      <alignment horizontal="center" vertical="center"/>
    </xf>
    <xf numFmtId="2" fontId="7" fillId="0" borderId="2" xfId="3" applyNumberFormat="1" applyBorder="1" applyAlignment="1">
      <alignment horizontal="center" vertical="center"/>
    </xf>
    <xf numFmtId="44" fontId="0" fillId="0" borderId="2" xfId="4" applyFont="1" applyFill="1" applyBorder="1" applyAlignment="1">
      <alignment horizontal="center" vertical="center"/>
    </xf>
    <xf numFmtId="10" fontId="7" fillId="0" borderId="2" xfId="3" applyNumberFormat="1" applyBorder="1" applyAlignment="1">
      <alignment horizontal="center" vertical="center"/>
    </xf>
    <xf numFmtId="10" fontId="0" fillId="0" borderId="2" xfId="5" applyNumberFormat="1" applyFont="1" applyBorder="1" applyAlignment="1">
      <alignment horizontal="center" vertical="center"/>
    </xf>
    <xf numFmtId="165" fontId="7" fillId="0" borderId="2" xfId="3" applyNumberFormat="1" applyBorder="1" applyAlignment="1">
      <alignment horizontal="center" vertical="center"/>
    </xf>
    <xf numFmtId="0" fontId="7" fillId="11" borderId="2" xfId="3" applyFill="1" applyBorder="1" applyAlignment="1">
      <alignment horizontal="center" vertical="center"/>
    </xf>
    <xf numFmtId="2" fontId="7" fillId="11" borderId="2" xfId="3" applyNumberFormat="1" applyFill="1" applyBorder="1" applyAlignment="1">
      <alignment horizontal="center" vertical="center"/>
    </xf>
    <xf numFmtId="10" fontId="7" fillId="11" borderId="2" xfId="3" applyNumberFormat="1" applyFill="1" applyBorder="1" applyAlignment="1">
      <alignment horizontal="center" vertical="center"/>
    </xf>
    <xf numFmtId="44" fontId="0" fillId="11" borderId="2" xfId="4" applyFont="1" applyFill="1" applyBorder="1" applyAlignment="1">
      <alignment horizontal="center" vertical="center"/>
    </xf>
    <xf numFmtId="0" fontId="7" fillId="11" borderId="0" xfId="3" applyFill="1"/>
    <xf numFmtId="0" fontId="7" fillId="12" borderId="2" xfId="3" applyFill="1" applyBorder="1" applyAlignment="1">
      <alignment horizontal="center" vertical="center"/>
    </xf>
    <xf numFmtId="2" fontId="7" fillId="12" borderId="2" xfId="3" applyNumberFormat="1" applyFill="1" applyBorder="1" applyAlignment="1">
      <alignment horizontal="center" vertical="center"/>
    </xf>
    <xf numFmtId="164" fontId="7" fillId="12" borderId="2" xfId="3" applyNumberFormat="1" applyFill="1" applyBorder="1" applyAlignment="1">
      <alignment horizontal="center" vertical="center"/>
    </xf>
    <xf numFmtId="44" fontId="0" fillId="12" borderId="2" xfId="4" applyFont="1" applyFill="1" applyBorder="1" applyAlignment="1">
      <alignment horizontal="center" vertical="center"/>
    </xf>
    <xf numFmtId="0" fontId="7" fillId="9" borderId="2" xfId="3" applyFill="1" applyBorder="1" applyAlignment="1">
      <alignment horizontal="center" vertical="center"/>
    </xf>
    <xf numFmtId="2" fontId="7" fillId="9" borderId="2" xfId="3" applyNumberFormat="1" applyFill="1" applyBorder="1" applyAlignment="1">
      <alignment horizontal="center" vertical="center"/>
    </xf>
    <xf numFmtId="164" fontId="7" fillId="9" borderId="2" xfId="3" applyNumberFormat="1" applyFill="1" applyBorder="1" applyAlignment="1">
      <alignment horizontal="center" vertical="center"/>
    </xf>
    <xf numFmtId="0" fontId="7" fillId="0" borderId="0" xfId="3" applyAlignment="1">
      <alignment horizontal="center" vertical="center"/>
    </xf>
    <xf numFmtId="14" fontId="7" fillId="0" borderId="0" xfId="3" applyNumberFormat="1" applyAlignment="1">
      <alignment horizontal="center" vertical="center"/>
    </xf>
    <xf numFmtId="44" fontId="0" fillId="0" borderId="0" xfId="4" applyFont="1" applyAlignment="1">
      <alignment horizontal="center" vertical="center"/>
    </xf>
    <xf numFmtId="2" fontId="7" fillId="0" borderId="0" xfId="3" applyNumberFormat="1" applyAlignment="1">
      <alignment horizontal="center" vertical="center"/>
    </xf>
    <xf numFmtId="14" fontId="30" fillId="0" borderId="114" xfId="3" applyNumberFormat="1" applyFont="1" applyBorder="1" applyAlignment="1">
      <alignment horizontal="right" vertical="center"/>
    </xf>
    <xf numFmtId="44" fontId="7" fillId="0" borderId="1" xfId="3" applyNumberFormat="1" applyBorder="1"/>
    <xf numFmtId="14" fontId="30" fillId="0" borderId="53" xfId="3" applyNumberFormat="1" applyFont="1" applyBorder="1" applyAlignment="1">
      <alignment horizontal="right" vertical="center"/>
    </xf>
    <xf numFmtId="44" fontId="7" fillId="0" borderId="2" xfId="3" applyNumberFormat="1" applyBorder="1"/>
    <xf numFmtId="14" fontId="30" fillId="0" borderId="116" xfId="3" applyNumberFormat="1" applyFont="1" applyBorder="1" applyAlignment="1">
      <alignment horizontal="right" vertical="center"/>
    </xf>
    <xf numFmtId="44" fontId="7" fillId="0" borderId="3" xfId="3" applyNumberFormat="1" applyBorder="1"/>
    <xf numFmtId="0" fontId="7" fillId="0" borderId="87" xfId="3" applyBorder="1" applyAlignment="1">
      <alignment horizontal="left" vertical="center"/>
    </xf>
    <xf numFmtId="44" fontId="7" fillId="0" borderId="115" xfId="3" applyNumberFormat="1" applyBorder="1"/>
    <xf numFmtId="44" fontId="7" fillId="0" borderId="54" xfId="3" applyNumberFormat="1" applyBorder="1"/>
    <xf numFmtId="44" fontId="7" fillId="0" borderId="87" xfId="3" applyNumberFormat="1" applyBorder="1"/>
    <xf numFmtId="0" fontId="6" fillId="12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19" fillId="6" borderId="137" xfId="0" applyFont="1" applyFill="1" applyBorder="1" applyAlignment="1">
      <alignment horizontal="center" vertical="center" wrapText="1"/>
    </xf>
    <xf numFmtId="0" fontId="5" fillId="9" borderId="2" xfId="3" applyFont="1" applyFill="1" applyBorder="1" applyAlignment="1">
      <alignment horizontal="center" vertical="center"/>
    </xf>
    <xf numFmtId="164" fontId="5" fillId="11" borderId="2" xfId="3" applyNumberFormat="1" applyFont="1" applyFill="1" applyBorder="1" applyAlignment="1">
      <alignment horizontal="center" vertical="center"/>
    </xf>
    <xf numFmtId="164" fontId="5" fillId="0" borderId="2" xfId="3" applyNumberFormat="1" applyFont="1" applyBorder="1" applyAlignment="1">
      <alignment horizontal="center" vertical="center"/>
    </xf>
    <xf numFmtId="10" fontId="25" fillId="6" borderId="47" xfId="2" applyNumberFormat="1" applyFont="1" applyFill="1" applyBorder="1" applyAlignment="1">
      <alignment horizontal="center" vertical="center" wrapText="1"/>
    </xf>
    <xf numFmtId="10" fontId="25" fillId="6" borderId="5" xfId="2" applyNumberFormat="1" applyFont="1" applyFill="1" applyBorder="1" applyAlignment="1">
      <alignment horizontal="center" vertical="center" wrapText="1"/>
    </xf>
    <xf numFmtId="10" fontId="25" fillId="6" borderId="5" xfId="0" applyNumberFormat="1" applyFont="1" applyFill="1" applyBorder="1" applyAlignment="1">
      <alignment horizontal="center" vertical="center" wrapText="1"/>
    </xf>
    <xf numFmtId="10" fontId="25" fillId="6" borderId="48" xfId="0" applyNumberFormat="1" applyFont="1" applyFill="1" applyBorder="1" applyAlignment="1">
      <alignment horizontal="center" vertical="center" wrapText="1"/>
    </xf>
    <xf numFmtId="0" fontId="4" fillId="0" borderId="54" xfId="3" applyFont="1" applyBorder="1" applyAlignment="1">
      <alignment horizontal="left" vertical="center"/>
    </xf>
    <xf numFmtId="0" fontId="4" fillId="0" borderId="115" xfId="3" applyFont="1" applyBorder="1" applyAlignment="1">
      <alignment horizontal="left" vertical="center"/>
    </xf>
    <xf numFmtId="0" fontId="24" fillId="0" borderId="29" xfId="0" applyFont="1" applyBorder="1" applyAlignment="1">
      <alignment vertical="center"/>
    </xf>
    <xf numFmtId="0" fontId="24" fillId="0" borderId="147" xfId="0" applyFont="1" applyBorder="1" applyAlignment="1">
      <alignment vertical="center"/>
    </xf>
    <xf numFmtId="14" fontId="24" fillId="0" borderId="147" xfId="0" applyNumberFormat="1" applyFont="1" applyBorder="1" applyAlignment="1">
      <alignment horizontal="center" vertical="center"/>
    </xf>
    <xf numFmtId="14" fontId="24" fillId="0" borderId="176" xfId="0" applyNumberFormat="1" applyFont="1" applyBorder="1" applyAlignment="1">
      <alignment horizontal="center" vertical="center"/>
    </xf>
    <xf numFmtId="0" fontId="24" fillId="0" borderId="82" xfId="0" applyFont="1" applyBorder="1" applyAlignment="1">
      <alignment vertical="center"/>
    </xf>
    <xf numFmtId="0" fontId="3" fillId="0" borderId="2" xfId="3" applyFont="1" applyBorder="1" applyAlignment="1">
      <alignment horizontal="center" vertical="center"/>
    </xf>
    <xf numFmtId="10" fontId="11" fillId="0" borderId="53" xfId="0" applyNumberFormat="1" applyFont="1" applyBorder="1" applyAlignment="1">
      <alignment horizontal="center" vertical="center"/>
    </xf>
    <xf numFmtId="10" fontId="11" fillId="0" borderId="54" xfId="0" applyNumberFormat="1" applyFont="1" applyBorder="1" applyAlignment="1">
      <alignment horizontal="center" vertical="center"/>
    </xf>
    <xf numFmtId="10" fontId="11" fillId="0" borderId="79" xfId="0" applyNumberFormat="1" applyFont="1" applyBorder="1" applyAlignment="1">
      <alignment horizontal="center" vertical="center"/>
    </xf>
    <xf numFmtId="10" fontId="11" fillId="0" borderId="55" xfId="0" applyNumberFormat="1" applyFont="1" applyBorder="1" applyAlignment="1">
      <alignment horizontal="center" vertical="center"/>
    </xf>
    <xf numFmtId="10" fontId="11" fillId="0" borderId="56" xfId="0" applyNumberFormat="1" applyFont="1" applyBorder="1" applyAlignment="1">
      <alignment horizontal="center" vertical="center"/>
    </xf>
    <xf numFmtId="10" fontId="11" fillId="0" borderId="100" xfId="0" applyNumberFormat="1" applyFont="1" applyBorder="1" applyAlignment="1">
      <alignment horizontal="center" vertical="center"/>
    </xf>
    <xf numFmtId="10" fontId="11" fillId="0" borderId="102" xfId="0" applyNumberFormat="1" applyFont="1" applyBorder="1" applyAlignment="1">
      <alignment horizontal="center" vertical="center"/>
    </xf>
    <xf numFmtId="10" fontId="11" fillId="0" borderId="106" xfId="0" applyNumberFormat="1" applyFont="1" applyBorder="1" applyAlignment="1">
      <alignment horizontal="center" vertical="center"/>
    </xf>
    <xf numFmtId="10" fontId="11" fillId="0" borderId="103" xfId="0" applyNumberFormat="1" applyFont="1" applyBorder="1" applyAlignment="1">
      <alignment horizontal="center" vertical="center"/>
    </xf>
    <xf numFmtId="10" fontId="11" fillId="0" borderId="105" xfId="0" applyNumberFormat="1" applyFont="1" applyBorder="1" applyAlignment="1">
      <alignment horizontal="center" vertical="center"/>
    </xf>
    <xf numFmtId="10" fontId="11" fillId="0" borderId="107" xfId="0" applyNumberFormat="1" applyFont="1" applyBorder="1" applyAlignment="1">
      <alignment horizontal="center" vertical="center"/>
    </xf>
    <xf numFmtId="10" fontId="11" fillId="0" borderId="100" xfId="0" applyNumberFormat="1" applyFont="1" applyBorder="1" applyAlignment="1">
      <alignment horizontal="center" vertical="center" wrapText="1"/>
    </xf>
    <xf numFmtId="10" fontId="11" fillId="0" borderId="102" xfId="0" applyNumberFormat="1" applyFont="1" applyBorder="1" applyAlignment="1">
      <alignment horizontal="center" vertical="center" wrapText="1"/>
    </xf>
    <xf numFmtId="10" fontId="11" fillId="0" borderId="106" xfId="0" applyNumberFormat="1" applyFont="1" applyBorder="1" applyAlignment="1">
      <alignment horizontal="center" vertical="center" wrapText="1"/>
    </xf>
    <xf numFmtId="10" fontId="11" fillId="0" borderId="49" xfId="0" applyNumberFormat="1" applyFont="1" applyBorder="1" applyAlignment="1">
      <alignment horizontal="center" vertical="center" wrapText="1"/>
    </xf>
    <xf numFmtId="10" fontId="11" fillId="0" borderId="50" xfId="0" applyNumberFormat="1" applyFont="1" applyBorder="1" applyAlignment="1">
      <alignment horizontal="center" vertical="center" wrapText="1"/>
    </xf>
    <xf numFmtId="10" fontId="11" fillId="0" borderId="77" xfId="0" applyNumberFormat="1" applyFont="1" applyBorder="1" applyAlignment="1">
      <alignment horizontal="center" vertical="center" wrapText="1"/>
    </xf>
    <xf numFmtId="10" fontId="11" fillId="0" borderId="103" xfId="0" applyNumberFormat="1" applyFont="1" applyBorder="1" applyAlignment="1">
      <alignment horizontal="center" vertical="center" wrapText="1"/>
    </xf>
    <xf numFmtId="10" fontId="11" fillId="0" borderId="105" xfId="0" applyNumberFormat="1" applyFont="1" applyBorder="1" applyAlignment="1">
      <alignment horizontal="center" vertical="center" wrapText="1"/>
    </xf>
    <xf numFmtId="10" fontId="11" fillId="0" borderId="107" xfId="0" applyNumberFormat="1" applyFont="1" applyBorder="1" applyAlignment="1">
      <alignment horizontal="center" vertical="center" wrapText="1"/>
    </xf>
    <xf numFmtId="10" fontId="11" fillId="0" borderId="47" xfId="0" applyNumberFormat="1" applyFont="1" applyBorder="1" applyAlignment="1">
      <alignment horizontal="center" vertical="center"/>
    </xf>
    <xf numFmtId="10" fontId="11" fillId="0" borderId="48" xfId="0" applyNumberFormat="1" applyFont="1" applyBorder="1" applyAlignment="1">
      <alignment horizontal="center" vertical="center"/>
    </xf>
    <xf numFmtId="10" fontId="11" fillId="0" borderId="60" xfId="0" applyNumberFormat="1" applyFont="1" applyBorder="1" applyAlignment="1">
      <alignment horizontal="center" vertical="center"/>
    </xf>
    <xf numFmtId="10" fontId="11" fillId="0" borderId="58" xfId="0" applyNumberFormat="1" applyFont="1" applyBorder="1" applyAlignment="1">
      <alignment horizontal="center" vertical="center"/>
    </xf>
    <xf numFmtId="10" fontId="11" fillId="0" borderId="59" xfId="0" applyNumberFormat="1" applyFont="1" applyBorder="1" applyAlignment="1">
      <alignment horizontal="center" vertical="center"/>
    </xf>
    <xf numFmtId="10" fontId="11" fillId="0" borderId="80" xfId="0" applyNumberFormat="1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 wrapText="1"/>
    </xf>
    <xf numFmtId="0" fontId="12" fillId="0" borderId="56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 wrapText="1"/>
    </xf>
    <xf numFmtId="14" fontId="12" fillId="0" borderId="145" xfId="0" applyNumberFormat="1" applyFont="1" applyBorder="1" applyAlignment="1">
      <alignment horizontal="center" vertical="center" wrapText="1"/>
    </xf>
    <xf numFmtId="14" fontId="12" fillId="0" borderId="32" xfId="0" applyNumberFormat="1" applyFont="1" applyBorder="1" applyAlignment="1">
      <alignment horizontal="center" vertical="center" wrapText="1"/>
    </xf>
    <xf numFmtId="10" fontId="12" fillId="0" borderId="31" xfId="0" applyNumberFormat="1" applyFont="1" applyBorder="1" applyAlignment="1">
      <alignment horizontal="center" vertical="center"/>
    </xf>
    <xf numFmtId="10" fontId="12" fillId="0" borderId="32" xfId="0" applyNumberFormat="1" applyFont="1" applyBorder="1" applyAlignment="1">
      <alignment horizontal="center" vertical="center"/>
    </xf>
    <xf numFmtId="10" fontId="12" fillId="0" borderId="66" xfId="0" applyNumberFormat="1" applyFont="1" applyBorder="1" applyAlignment="1">
      <alignment horizontal="center" vertical="center"/>
    </xf>
    <xf numFmtId="10" fontId="12" fillId="0" borderId="16" xfId="0" applyNumberFormat="1" applyFont="1" applyBorder="1" applyAlignment="1">
      <alignment horizontal="center" vertical="center"/>
    </xf>
    <xf numFmtId="10" fontId="12" fillId="0" borderId="15" xfId="0" applyNumberFormat="1" applyFont="1" applyBorder="1" applyAlignment="1">
      <alignment horizontal="center" vertical="center"/>
    </xf>
    <xf numFmtId="10" fontId="12" fillId="0" borderId="82" xfId="0" applyNumberFormat="1" applyFont="1" applyBorder="1" applyAlignment="1">
      <alignment horizontal="center" vertical="center"/>
    </xf>
    <xf numFmtId="10" fontId="12" fillId="0" borderId="88" xfId="0" applyNumberFormat="1" applyFont="1" applyBorder="1" applyAlignment="1">
      <alignment horizontal="center" vertical="center"/>
    </xf>
    <xf numFmtId="10" fontId="12" fillId="0" borderId="56" xfId="0" applyNumberFormat="1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 wrapText="1"/>
    </xf>
    <xf numFmtId="0" fontId="12" fillId="0" borderId="50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 wrapText="1"/>
    </xf>
    <xf numFmtId="14" fontId="12" fillId="0" borderId="146" xfId="0" applyNumberFormat="1" applyFont="1" applyBorder="1" applyAlignment="1">
      <alignment horizontal="center" vertical="center" wrapText="1"/>
    </xf>
    <xf numFmtId="14" fontId="12" fillId="0" borderId="28" xfId="0" applyNumberFormat="1" applyFont="1" applyBorder="1" applyAlignment="1">
      <alignment horizontal="center" vertical="center" wrapText="1"/>
    </xf>
    <xf numFmtId="10" fontId="12" fillId="0" borderId="27" xfId="0" applyNumberFormat="1" applyFont="1" applyBorder="1" applyAlignment="1">
      <alignment horizontal="center" vertical="center"/>
    </xf>
    <xf numFmtId="10" fontId="12" fillId="0" borderId="28" xfId="0" applyNumberFormat="1" applyFont="1" applyBorder="1" applyAlignment="1">
      <alignment horizontal="center" vertical="center"/>
    </xf>
    <xf numFmtId="10" fontId="12" fillId="0" borderId="67" xfId="0" applyNumberFormat="1" applyFont="1" applyBorder="1" applyAlignment="1">
      <alignment horizontal="center" vertical="center"/>
    </xf>
    <xf numFmtId="10" fontId="12" fillId="0" borderId="10" xfId="0" applyNumberFormat="1" applyFont="1" applyBorder="1" applyAlignment="1">
      <alignment horizontal="center" vertical="center"/>
    </xf>
    <xf numFmtId="10" fontId="12" fillId="0" borderId="9" xfId="0" applyNumberFormat="1" applyFont="1" applyBorder="1" applyAlignment="1">
      <alignment horizontal="center" vertical="center"/>
    </xf>
    <xf numFmtId="10" fontId="12" fillId="0" borderId="50" xfId="0" applyNumberFormat="1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 wrapText="1"/>
    </xf>
    <xf numFmtId="0" fontId="12" fillId="0" borderId="52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 wrapText="1"/>
    </xf>
    <xf numFmtId="14" fontId="12" fillId="0" borderId="147" xfId="0" applyNumberFormat="1" applyFont="1" applyBorder="1" applyAlignment="1">
      <alignment horizontal="center" vertical="center" wrapText="1"/>
    </xf>
    <xf numFmtId="14" fontId="12" fillId="0" borderId="30" xfId="0" applyNumberFormat="1" applyFont="1" applyBorder="1" applyAlignment="1">
      <alignment horizontal="center" vertical="center" wrapText="1"/>
    </xf>
    <xf numFmtId="10" fontId="12" fillId="0" borderId="29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10" fontId="12" fillId="0" borderId="68" xfId="0" applyNumberFormat="1" applyFont="1" applyBorder="1" applyAlignment="1">
      <alignment horizontal="center" vertical="center"/>
    </xf>
    <xf numFmtId="10" fontId="12" fillId="0" borderId="12" xfId="0" applyNumberFormat="1" applyFont="1" applyBorder="1" applyAlignment="1">
      <alignment horizontal="center" vertical="center"/>
    </xf>
    <xf numFmtId="10" fontId="12" fillId="0" borderId="11" xfId="0" applyNumberFormat="1" applyFont="1" applyBorder="1" applyAlignment="1">
      <alignment horizontal="center" vertical="center"/>
    </xf>
    <xf numFmtId="10" fontId="12" fillId="0" borderId="52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 wrapText="1"/>
    </xf>
    <xf numFmtId="0" fontId="12" fillId="0" borderId="5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 wrapText="1"/>
    </xf>
    <xf numFmtId="14" fontId="12" fillId="0" borderId="148" xfId="0" applyNumberFormat="1" applyFont="1" applyBorder="1" applyAlignment="1">
      <alignment horizontal="center" vertical="center" wrapText="1"/>
    </xf>
    <xf numFmtId="14" fontId="12" fillId="0" borderId="26" xfId="0" applyNumberFormat="1" applyFont="1" applyBorder="1" applyAlignment="1">
      <alignment horizontal="center" vertical="center" wrapText="1"/>
    </xf>
    <xf numFmtId="10" fontId="12" fillId="0" borderId="25" xfId="0" applyNumberFormat="1" applyFont="1" applyBorder="1" applyAlignment="1">
      <alignment horizontal="center" vertical="center"/>
    </xf>
    <xf numFmtId="10" fontId="12" fillId="0" borderId="26" xfId="0" applyNumberFormat="1" applyFont="1" applyBorder="1" applyAlignment="1">
      <alignment horizontal="center" vertical="center"/>
    </xf>
    <xf numFmtId="10" fontId="12" fillId="0" borderId="69" xfId="0" applyNumberFormat="1" applyFont="1" applyBorder="1" applyAlignment="1">
      <alignment horizontal="center" vertical="center"/>
    </xf>
    <xf numFmtId="10" fontId="12" fillId="0" borderId="14" xfId="0" applyNumberFormat="1" applyFont="1" applyBorder="1" applyAlignment="1">
      <alignment horizontal="center" vertical="center"/>
    </xf>
    <xf numFmtId="10" fontId="12" fillId="0" borderId="13" xfId="0" applyNumberFormat="1" applyFont="1" applyBorder="1" applyAlignment="1">
      <alignment horizontal="center" vertical="center"/>
    </xf>
    <xf numFmtId="10" fontId="12" fillId="0" borderId="54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0" fontId="12" fillId="0" borderId="101" xfId="0" applyFont="1" applyBorder="1" applyAlignment="1">
      <alignment horizontal="left" vertical="center"/>
    </xf>
    <xf numFmtId="0" fontId="12" fillId="0" borderId="101" xfId="0" applyFont="1" applyBorder="1" applyAlignment="1">
      <alignment horizontal="left" vertical="center" wrapText="1"/>
    </xf>
    <xf numFmtId="0" fontId="12" fillId="0" borderId="102" xfId="0" applyFont="1" applyBorder="1" applyAlignment="1">
      <alignment horizontal="center" vertical="center"/>
    </xf>
    <xf numFmtId="0" fontId="28" fillId="0" borderId="152" xfId="0" applyFont="1" applyBorder="1" applyAlignment="1">
      <alignment horizontal="center" vertical="center" wrapText="1"/>
    </xf>
    <xf numFmtId="14" fontId="28" fillId="0" borderId="154" xfId="0" applyNumberFormat="1" applyFont="1" applyBorder="1" applyAlignment="1">
      <alignment horizontal="center" vertical="center" wrapText="1"/>
    </xf>
    <xf numFmtId="14" fontId="28" fillId="0" borderId="156" xfId="0" applyNumberFormat="1" applyFont="1" applyBorder="1" applyAlignment="1">
      <alignment horizontal="center" vertical="center" wrapText="1"/>
    </xf>
    <xf numFmtId="10" fontId="12" fillId="0" borderId="90" xfId="0" applyNumberFormat="1" applyFont="1" applyBorder="1" applyAlignment="1">
      <alignment horizontal="center" vertical="center"/>
    </xf>
    <xf numFmtId="10" fontId="12" fillId="0" borderId="91" xfId="0" applyNumberFormat="1" applyFont="1" applyBorder="1" applyAlignment="1">
      <alignment horizontal="center" vertical="center"/>
    </xf>
    <xf numFmtId="10" fontId="12" fillId="0" borderId="92" xfId="0" applyNumberFormat="1" applyFont="1" applyBorder="1" applyAlignment="1">
      <alignment horizontal="center" vertical="center"/>
    </xf>
    <xf numFmtId="10" fontId="12" fillId="0" borderId="90" xfId="0" applyNumberFormat="1" applyFont="1" applyBorder="1" applyAlignment="1">
      <alignment horizontal="center" vertical="center" wrapText="1"/>
    </xf>
    <xf numFmtId="10" fontId="12" fillId="0" borderId="93" xfId="0" applyNumberFormat="1" applyFont="1" applyBorder="1" applyAlignment="1">
      <alignment horizontal="center" vertical="center"/>
    </xf>
    <xf numFmtId="10" fontId="12" fillId="0" borderId="94" xfId="0" applyNumberFormat="1" applyFont="1" applyBorder="1" applyAlignment="1">
      <alignment horizontal="center" vertical="center"/>
    </xf>
    <xf numFmtId="10" fontId="12" fillId="0" borderId="102" xfId="0" applyNumberFormat="1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/>
    </xf>
    <xf numFmtId="14" fontId="28" fillId="0" borderId="143" xfId="0" applyNumberFormat="1" applyFont="1" applyBorder="1" applyAlignment="1">
      <alignment horizontal="center" vertical="center" wrapText="1"/>
    </xf>
    <xf numFmtId="14" fontId="28" fillId="0" borderId="34" xfId="0" applyNumberFormat="1" applyFont="1" applyBorder="1" applyAlignment="1">
      <alignment horizontal="center" vertical="center" wrapText="1"/>
    </xf>
    <xf numFmtId="10" fontId="12" fillId="0" borderId="27" xfId="0" applyNumberFormat="1" applyFont="1" applyBorder="1" applyAlignment="1">
      <alignment horizontal="center" vertical="center" wrapText="1"/>
    </xf>
    <xf numFmtId="0" fontId="12" fillId="0" borderId="104" xfId="0" applyFont="1" applyBorder="1" applyAlignment="1">
      <alignment horizontal="left" vertical="center"/>
    </xf>
    <xf numFmtId="0" fontId="12" fillId="0" borderId="104" xfId="0" applyFont="1" applyBorder="1" applyAlignment="1">
      <alignment horizontal="left" vertical="center" wrapText="1"/>
    </xf>
    <xf numFmtId="0" fontId="12" fillId="0" borderId="105" xfId="0" applyFont="1" applyBorder="1" applyAlignment="1">
      <alignment horizontal="center" vertical="center"/>
    </xf>
    <xf numFmtId="0" fontId="28" fillId="0" borderId="153" xfId="0" applyFont="1" applyBorder="1" applyAlignment="1">
      <alignment horizontal="center" vertical="center" wrapText="1"/>
    </xf>
    <xf numFmtId="14" fontId="28" fillId="0" borderId="155" xfId="0" applyNumberFormat="1" applyFont="1" applyBorder="1" applyAlignment="1">
      <alignment horizontal="center" vertical="center" wrapText="1"/>
    </xf>
    <xf numFmtId="14" fontId="28" fillId="0" borderId="157" xfId="0" applyNumberFormat="1" applyFont="1" applyBorder="1" applyAlignment="1">
      <alignment horizontal="center" vertical="center" wrapText="1"/>
    </xf>
    <xf numFmtId="10" fontId="12" fillId="0" borderId="95" xfId="0" applyNumberFormat="1" applyFont="1" applyBorder="1" applyAlignment="1">
      <alignment horizontal="center" vertical="center"/>
    </xf>
    <xf numFmtId="10" fontId="12" fillId="0" borderId="96" xfId="0" applyNumberFormat="1" applyFont="1" applyBorder="1" applyAlignment="1">
      <alignment horizontal="center" vertical="center"/>
    </xf>
    <xf numFmtId="10" fontId="12" fillId="0" borderId="97" xfId="0" applyNumberFormat="1" applyFont="1" applyBorder="1" applyAlignment="1">
      <alignment horizontal="center" vertical="center"/>
    </xf>
    <xf numFmtId="10" fontId="12" fillId="0" borderId="95" xfId="0" applyNumberFormat="1" applyFont="1" applyBorder="1" applyAlignment="1">
      <alignment horizontal="center" vertical="center" wrapText="1"/>
    </xf>
    <xf numFmtId="10" fontId="12" fillId="0" borderId="98" xfId="0" applyNumberFormat="1" applyFont="1" applyBorder="1" applyAlignment="1">
      <alignment horizontal="center" vertical="center"/>
    </xf>
    <xf numFmtId="10" fontId="12" fillId="0" borderId="99" xfId="0" applyNumberFormat="1" applyFont="1" applyBorder="1" applyAlignment="1">
      <alignment horizontal="center" vertical="center"/>
    </xf>
    <xf numFmtId="10" fontId="12" fillId="0" borderId="105" xfId="0" applyNumberFormat="1" applyFont="1" applyBorder="1" applyAlignment="1">
      <alignment horizontal="center" vertical="center"/>
    </xf>
    <xf numFmtId="0" fontId="26" fillId="0" borderId="7" xfId="0" applyFont="1" applyBorder="1" applyAlignment="1">
      <alignment horizontal="left" vertical="center" wrapText="1"/>
    </xf>
    <xf numFmtId="0" fontId="26" fillId="0" borderId="31" xfId="0" applyFont="1" applyBorder="1" applyAlignment="1">
      <alignment horizontal="center" vertical="center" wrapText="1"/>
    </xf>
    <xf numFmtId="14" fontId="26" fillId="0" borderId="145" xfId="0" applyNumberFormat="1" applyFont="1" applyBorder="1" applyAlignment="1">
      <alignment horizontal="center" vertical="center" wrapText="1"/>
    </xf>
    <xf numFmtId="14" fontId="26" fillId="0" borderId="32" xfId="0" applyNumberFormat="1" applyFont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0" fontId="26" fillId="0" borderId="27" xfId="0" applyFont="1" applyBorder="1" applyAlignment="1">
      <alignment horizontal="center" vertical="center" wrapText="1"/>
    </xf>
    <xf numFmtId="14" fontId="26" fillId="0" borderId="146" xfId="0" applyNumberFormat="1" applyFont="1" applyBorder="1" applyAlignment="1">
      <alignment horizontal="center" vertical="center" wrapText="1"/>
    </xf>
    <xf numFmtId="14" fontId="26" fillId="0" borderId="28" xfId="0" applyNumberFormat="1" applyFont="1" applyBorder="1" applyAlignment="1">
      <alignment horizontal="center" vertical="center" wrapText="1"/>
    </xf>
    <xf numFmtId="0" fontId="26" fillId="0" borderId="8" xfId="0" applyFont="1" applyBorder="1" applyAlignment="1">
      <alignment horizontal="left" vertical="center" wrapText="1"/>
    </xf>
    <xf numFmtId="0" fontId="26" fillId="0" borderId="29" xfId="0" applyFont="1" applyBorder="1" applyAlignment="1">
      <alignment horizontal="center" vertical="center" wrapText="1"/>
    </xf>
    <xf numFmtId="14" fontId="26" fillId="0" borderId="147" xfId="0" applyNumberFormat="1" applyFont="1" applyBorder="1" applyAlignment="1">
      <alignment horizontal="center" vertical="center" wrapText="1"/>
    </xf>
    <xf numFmtId="14" fontId="26" fillId="0" borderId="30" xfId="0" applyNumberFormat="1" applyFont="1" applyBorder="1" applyAlignment="1">
      <alignment horizontal="center" vertical="center" wrapText="1"/>
    </xf>
    <xf numFmtId="0" fontId="12" fillId="0" borderId="90" xfId="0" applyFont="1" applyBorder="1" applyAlignment="1">
      <alignment horizontal="center" vertical="center" wrapText="1"/>
    </xf>
    <xf numFmtId="14" fontId="12" fillId="0" borderId="149" xfId="0" applyNumberFormat="1" applyFont="1" applyBorder="1" applyAlignment="1">
      <alignment horizontal="center" vertical="center" wrapText="1"/>
    </xf>
    <xf numFmtId="14" fontId="12" fillId="0" borderId="91" xfId="0" applyNumberFormat="1" applyFont="1" applyBorder="1" applyAlignment="1">
      <alignment horizontal="center" vertical="center" wrapText="1"/>
    </xf>
    <xf numFmtId="10" fontId="12" fillId="0" borderId="91" xfId="0" applyNumberFormat="1" applyFont="1" applyBorder="1" applyAlignment="1">
      <alignment horizontal="center" vertical="center" wrapText="1"/>
    </xf>
    <xf numFmtId="10" fontId="12" fillId="0" borderId="92" xfId="0" applyNumberFormat="1" applyFont="1" applyBorder="1" applyAlignment="1">
      <alignment horizontal="center" vertical="center" wrapText="1"/>
    </xf>
    <xf numFmtId="10" fontId="12" fillId="0" borderId="94" xfId="0" applyNumberFormat="1" applyFont="1" applyBorder="1" applyAlignment="1">
      <alignment horizontal="center" vertical="center" wrapText="1"/>
    </xf>
    <xf numFmtId="10" fontId="12" fillId="0" borderId="93" xfId="0" applyNumberFormat="1" applyFont="1" applyBorder="1" applyAlignment="1">
      <alignment horizontal="center" vertical="center" wrapText="1"/>
    </xf>
    <xf numFmtId="10" fontId="12" fillId="0" borderId="102" xfId="0" applyNumberFormat="1" applyFont="1" applyBorder="1" applyAlignment="1">
      <alignment horizontal="center" vertical="center" wrapText="1"/>
    </xf>
    <xf numFmtId="10" fontId="12" fillId="0" borderId="28" xfId="0" applyNumberFormat="1" applyFont="1" applyBorder="1" applyAlignment="1">
      <alignment horizontal="center" vertical="center" wrapText="1"/>
    </xf>
    <xf numFmtId="10" fontId="12" fillId="0" borderId="67" xfId="0" applyNumberFormat="1" applyFont="1" applyBorder="1" applyAlignment="1">
      <alignment horizontal="center" vertical="center" wrapText="1"/>
    </xf>
    <xf numFmtId="10" fontId="12" fillId="0" borderId="9" xfId="0" applyNumberFormat="1" applyFont="1" applyBorder="1" applyAlignment="1">
      <alignment horizontal="center" vertical="center" wrapText="1"/>
    </xf>
    <xf numFmtId="10" fontId="12" fillId="0" borderId="10" xfId="0" applyNumberFormat="1" applyFont="1" applyBorder="1" applyAlignment="1">
      <alignment horizontal="center" vertical="center" wrapText="1"/>
    </xf>
    <xf numFmtId="10" fontId="12" fillId="0" borderId="50" xfId="0" applyNumberFormat="1" applyFont="1" applyBorder="1" applyAlignment="1">
      <alignment horizontal="center" vertical="center" wrapText="1"/>
    </xf>
    <xf numFmtId="14" fontId="12" fillId="0" borderId="27" xfId="0" applyNumberFormat="1" applyFont="1" applyBorder="1" applyAlignment="1">
      <alignment horizontal="center" vertical="center" wrapText="1"/>
    </xf>
    <xf numFmtId="10" fontId="12" fillId="0" borderId="97" xfId="0" applyNumberFormat="1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14" fontId="12" fillId="0" borderId="96" xfId="0" applyNumberFormat="1" applyFont="1" applyBorder="1" applyAlignment="1">
      <alignment horizontal="center" vertical="center" wrapText="1"/>
    </xf>
    <xf numFmtId="10" fontId="12" fillId="0" borderId="96" xfId="0" applyNumberFormat="1" applyFont="1" applyBorder="1" applyAlignment="1">
      <alignment horizontal="center" vertical="center" wrapText="1"/>
    </xf>
    <xf numFmtId="10" fontId="12" fillId="0" borderId="99" xfId="0" applyNumberFormat="1" applyFont="1" applyBorder="1" applyAlignment="1">
      <alignment horizontal="center" vertical="center" wrapText="1"/>
    </xf>
    <xf numFmtId="10" fontId="12" fillId="0" borderId="98" xfId="0" applyNumberFormat="1" applyFont="1" applyBorder="1" applyAlignment="1">
      <alignment horizontal="center" vertical="center" wrapText="1"/>
    </xf>
    <xf numFmtId="10" fontId="12" fillId="0" borderId="10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 wrapText="1"/>
    </xf>
    <xf numFmtId="0" fontId="12" fillId="0" borderId="48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 wrapText="1"/>
    </xf>
    <xf numFmtId="14" fontId="12" fillId="0" borderId="143" xfId="0" applyNumberFormat="1" applyFont="1" applyBorder="1" applyAlignment="1">
      <alignment horizontal="center" vertical="center" wrapText="1"/>
    </xf>
    <xf numFmtId="14" fontId="12" fillId="0" borderId="34" xfId="0" applyNumberFormat="1" applyFont="1" applyBorder="1" applyAlignment="1">
      <alignment horizontal="center" vertical="center" wrapText="1"/>
    </xf>
    <xf numFmtId="10" fontId="12" fillId="0" borderId="33" xfId="0" applyNumberFormat="1" applyFont="1" applyBorder="1" applyAlignment="1">
      <alignment horizontal="center" vertical="center"/>
    </xf>
    <xf numFmtId="10" fontId="12" fillId="0" borderId="34" xfId="0" applyNumberFormat="1" applyFont="1" applyBorder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2" fillId="0" borderId="18" xfId="0" applyNumberFormat="1" applyFont="1" applyBorder="1" applyAlignment="1">
      <alignment horizontal="center" vertical="center"/>
    </xf>
    <xf numFmtId="10" fontId="12" fillId="0" borderId="17" xfId="0" applyNumberFormat="1" applyFont="1" applyBorder="1" applyAlignment="1">
      <alignment horizontal="center" vertical="center"/>
    </xf>
    <xf numFmtId="10" fontId="12" fillId="0" borderId="48" xfId="0" applyNumberFormat="1" applyFont="1" applyBorder="1" applyAlignment="1">
      <alignment horizontal="center" vertical="center"/>
    </xf>
    <xf numFmtId="14" fontId="12" fillId="0" borderId="150" xfId="0" applyNumberFormat="1" applyFont="1" applyBorder="1" applyAlignment="1">
      <alignment horizontal="center" vertical="center" wrapText="1"/>
    </xf>
    <xf numFmtId="0" fontId="26" fillId="0" borderId="2" xfId="0" applyFont="1" applyBorder="1" applyAlignment="1">
      <alignment horizontal="left" vertical="center"/>
    </xf>
    <xf numFmtId="0" fontId="26" fillId="0" borderId="25" xfId="0" applyFont="1" applyBorder="1" applyAlignment="1">
      <alignment horizontal="center" vertical="center" wrapText="1"/>
    </xf>
    <xf numFmtId="14" fontId="26" fillId="0" borderId="148" xfId="0" applyNumberFormat="1" applyFont="1" applyBorder="1" applyAlignment="1">
      <alignment horizontal="center" vertical="center" wrapText="1"/>
    </xf>
    <xf numFmtId="14" fontId="26" fillId="0" borderId="26" xfId="0" applyNumberFormat="1" applyFont="1" applyBorder="1" applyAlignment="1">
      <alignment horizontal="center" vertical="center" wrapText="1"/>
    </xf>
    <xf numFmtId="0" fontId="26" fillId="0" borderId="148" xfId="0" applyFont="1" applyBorder="1" applyAlignment="1">
      <alignment horizontal="center" vertical="center" wrapText="1"/>
    </xf>
    <xf numFmtId="0" fontId="26" fillId="0" borderId="26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left" vertical="center"/>
    </xf>
    <xf numFmtId="0" fontId="26" fillId="0" borderId="145" xfId="0" applyFont="1" applyBorder="1" applyAlignment="1">
      <alignment horizontal="center" vertical="center" wrapText="1"/>
    </xf>
    <xf numFmtId="0" fontId="26" fillId="0" borderId="32" xfId="0" applyFont="1" applyBorder="1" applyAlignment="1">
      <alignment horizontal="center" vertical="center" wrapText="1"/>
    </xf>
    <xf numFmtId="0" fontId="12" fillId="0" borderId="37" xfId="0" applyFont="1" applyBorder="1" applyAlignment="1">
      <alignment horizontal="left" vertical="center"/>
    </xf>
    <xf numFmtId="0" fontId="12" fillId="0" borderId="37" xfId="0" applyFont="1" applyBorder="1" applyAlignment="1">
      <alignment horizontal="left" vertical="center" wrapText="1"/>
    </xf>
    <xf numFmtId="0" fontId="12" fillId="0" borderId="59" xfId="0" applyFont="1" applyBorder="1" applyAlignment="1">
      <alignment horizontal="center" vertical="center"/>
    </xf>
    <xf numFmtId="0" fontId="26" fillId="0" borderId="35" xfId="0" applyFont="1" applyBorder="1" applyAlignment="1">
      <alignment horizontal="center" vertical="center" wrapText="1"/>
    </xf>
    <xf numFmtId="14" fontId="12" fillId="0" borderId="151" xfId="0" applyNumberFormat="1" applyFont="1" applyBorder="1" applyAlignment="1">
      <alignment horizontal="center" vertical="center" wrapText="1"/>
    </xf>
    <xf numFmtId="14" fontId="12" fillId="0" borderId="39" xfId="0" applyNumberFormat="1" applyFont="1" applyBorder="1" applyAlignment="1">
      <alignment horizontal="center" vertical="center" wrapText="1"/>
    </xf>
    <xf numFmtId="10" fontId="12" fillId="0" borderId="35" xfId="0" applyNumberFormat="1" applyFont="1" applyBorder="1" applyAlignment="1">
      <alignment horizontal="center" vertical="center"/>
    </xf>
    <xf numFmtId="10" fontId="12" fillId="0" borderId="39" xfId="0" applyNumberFormat="1" applyFont="1" applyBorder="1" applyAlignment="1">
      <alignment horizontal="center" vertical="center"/>
    </xf>
    <xf numFmtId="10" fontId="12" fillId="0" borderId="70" xfId="0" applyNumberFormat="1" applyFont="1" applyBorder="1" applyAlignment="1">
      <alignment horizontal="center" vertical="center"/>
    </xf>
    <xf numFmtId="10" fontId="12" fillId="0" borderId="36" xfId="0" applyNumberFormat="1" applyFont="1" applyBorder="1" applyAlignment="1">
      <alignment horizontal="center" vertical="center"/>
    </xf>
    <xf numFmtId="10" fontId="12" fillId="0" borderId="38" xfId="0" applyNumberFormat="1" applyFont="1" applyBorder="1" applyAlignment="1">
      <alignment horizontal="center" vertical="center"/>
    </xf>
    <xf numFmtId="10" fontId="12" fillId="0" borderId="59" xfId="0" applyNumberFormat="1" applyFont="1" applyBorder="1" applyAlignment="1">
      <alignment horizontal="center" vertical="center"/>
    </xf>
    <xf numFmtId="0" fontId="13" fillId="0" borderId="82" xfId="0" applyFont="1" applyBorder="1" applyAlignment="1">
      <alignment horizontal="center" vertical="center"/>
    </xf>
    <xf numFmtId="0" fontId="13" fillId="0" borderId="160" xfId="0" applyFont="1" applyBorder="1" applyAlignment="1">
      <alignment horizontal="center" vertical="center"/>
    </xf>
    <xf numFmtId="0" fontId="13" fillId="0" borderId="175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146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15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2" fillId="9" borderId="2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24" xfId="0" applyFont="1" applyBorder="1" applyAlignment="1">
      <alignment horizontal="center" vertical="center"/>
    </xf>
    <xf numFmtId="0" fontId="15" fillId="0" borderId="65" xfId="0" applyFont="1" applyBorder="1" applyAlignment="1">
      <alignment horizontal="center" vertical="center"/>
    </xf>
    <xf numFmtId="0" fontId="15" fillId="0" borderId="89" xfId="0" applyFont="1" applyBorder="1" applyAlignment="1">
      <alignment horizontal="center" vertical="center"/>
    </xf>
    <xf numFmtId="0" fontId="11" fillId="0" borderId="121" xfId="0" applyFont="1" applyBorder="1" applyAlignment="1">
      <alignment horizontal="center" vertical="center"/>
    </xf>
    <xf numFmtId="0" fontId="11" fillId="0" borderId="122" xfId="0" applyFont="1" applyBorder="1" applyAlignment="1">
      <alignment horizontal="center" vertical="center"/>
    </xf>
    <xf numFmtId="0" fontId="11" fillId="0" borderId="123" xfId="0" applyFont="1" applyBorder="1" applyAlignment="1">
      <alignment horizontal="center" vertical="center"/>
    </xf>
    <xf numFmtId="0" fontId="11" fillId="0" borderId="124" xfId="0" applyFont="1" applyBorder="1" applyAlignment="1">
      <alignment horizontal="center" vertical="center"/>
    </xf>
    <xf numFmtId="0" fontId="11" fillId="0" borderId="125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14" fontId="11" fillId="0" borderId="74" xfId="0" applyNumberFormat="1" applyFont="1" applyBorder="1" applyAlignment="1">
      <alignment horizontal="center" vertical="center"/>
    </xf>
    <xf numFmtId="14" fontId="11" fillId="0" borderId="60" xfId="0" applyNumberFormat="1" applyFont="1" applyBorder="1" applyAlignment="1">
      <alignment horizontal="center" vertical="center"/>
    </xf>
    <xf numFmtId="14" fontId="11" fillId="0" borderId="75" xfId="0" applyNumberFormat="1" applyFont="1" applyBorder="1" applyAlignment="1">
      <alignment horizontal="center" vertical="center"/>
    </xf>
    <xf numFmtId="0" fontId="11" fillId="5" borderId="110" xfId="0" applyFont="1" applyFill="1" applyBorder="1" applyAlignment="1">
      <alignment horizontal="center" vertical="center"/>
    </xf>
    <xf numFmtId="0" fontId="11" fillId="5" borderId="111" xfId="0" applyFont="1" applyFill="1" applyBorder="1" applyAlignment="1">
      <alignment horizontal="center" vertical="center"/>
    </xf>
    <xf numFmtId="9" fontId="11" fillId="5" borderId="112" xfId="0" applyNumberFormat="1" applyFont="1" applyFill="1" applyBorder="1" applyAlignment="1">
      <alignment horizontal="center" vertical="center"/>
    </xf>
    <xf numFmtId="0" fontId="11" fillId="5" borderId="113" xfId="0" applyFont="1" applyFill="1" applyBorder="1" applyAlignment="1">
      <alignment horizontal="center" vertical="center"/>
    </xf>
    <xf numFmtId="0" fontId="11" fillId="5" borderId="83" xfId="0" applyFont="1" applyFill="1" applyBorder="1" applyAlignment="1">
      <alignment horizontal="center" vertical="center"/>
    </xf>
    <xf numFmtId="0" fontId="11" fillId="5" borderId="86" xfId="0" applyFont="1" applyFill="1" applyBorder="1" applyAlignment="1">
      <alignment horizontal="center" vertical="center"/>
    </xf>
    <xf numFmtId="9" fontId="11" fillId="5" borderId="84" xfId="0" applyNumberFormat="1" applyFont="1" applyFill="1" applyBorder="1" applyAlignment="1">
      <alignment horizontal="center" vertical="center"/>
    </xf>
    <xf numFmtId="0" fontId="11" fillId="5" borderId="109" xfId="0" applyFont="1" applyFill="1" applyBorder="1" applyAlignment="1">
      <alignment horizontal="center" vertical="center"/>
    </xf>
    <xf numFmtId="0" fontId="11" fillId="5" borderId="114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9" fontId="11" fillId="5" borderId="116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85" xfId="0" applyFont="1" applyFill="1" applyBorder="1" applyAlignment="1">
      <alignment horizontal="center" vertical="center"/>
    </xf>
    <xf numFmtId="9" fontId="11" fillId="5" borderId="108" xfId="0" applyNumberFormat="1" applyFont="1" applyFill="1" applyBorder="1" applyAlignment="1">
      <alignment horizontal="center" vertical="center"/>
    </xf>
    <xf numFmtId="0" fontId="11" fillId="5" borderId="84" xfId="0" applyFont="1" applyFill="1" applyBorder="1" applyAlignment="1">
      <alignment horizontal="center" vertical="center"/>
    </xf>
    <xf numFmtId="0" fontId="11" fillId="5" borderId="115" xfId="0" applyFont="1" applyFill="1" applyBorder="1" applyAlignment="1">
      <alignment horizontal="center" vertical="center"/>
    </xf>
    <xf numFmtId="9" fontId="11" fillId="5" borderId="3" xfId="0" applyNumberFormat="1" applyFont="1" applyFill="1" applyBorder="1" applyAlignment="1">
      <alignment horizontal="center" vertical="center"/>
    </xf>
    <xf numFmtId="0" fontId="11" fillId="5" borderId="87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5" borderId="54" xfId="0" applyFont="1" applyFill="1" applyBorder="1" applyAlignment="1">
      <alignment horizontal="center" vertical="center"/>
    </xf>
    <xf numFmtId="0" fontId="11" fillId="3" borderId="44" xfId="0" applyFont="1" applyFill="1" applyBorder="1" applyAlignment="1">
      <alignment horizontal="center" vertical="center" wrapText="1"/>
    </xf>
    <xf numFmtId="0" fontId="11" fillId="3" borderId="47" xfId="0" applyFont="1" applyFill="1" applyBorder="1" applyAlignment="1">
      <alignment horizontal="center" vertical="center" wrapText="1"/>
    </xf>
    <xf numFmtId="0" fontId="11" fillId="3" borderId="61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 wrapText="1"/>
    </xf>
    <xf numFmtId="0" fontId="11" fillId="3" borderId="48" xfId="0" applyFont="1" applyFill="1" applyBorder="1" applyAlignment="1">
      <alignment horizontal="center" vertical="center" wrapText="1"/>
    </xf>
    <xf numFmtId="0" fontId="11" fillId="3" borderId="63" xfId="0" applyFont="1" applyFill="1" applyBorder="1" applyAlignment="1">
      <alignment horizontal="center" vertical="center" wrapText="1"/>
    </xf>
    <xf numFmtId="0" fontId="11" fillId="3" borderId="74" xfId="0" applyFont="1" applyFill="1" applyBorder="1" applyAlignment="1">
      <alignment horizontal="center" vertical="center" wrapText="1"/>
    </xf>
    <xf numFmtId="0" fontId="11" fillId="3" borderId="60" xfId="0" applyFont="1" applyFill="1" applyBorder="1" applyAlignment="1">
      <alignment horizontal="center" vertical="center" wrapText="1"/>
    </xf>
    <xf numFmtId="0" fontId="11" fillId="3" borderId="75" xfId="0" applyFont="1" applyFill="1" applyBorder="1" applyAlignment="1">
      <alignment horizontal="center" vertical="center" wrapText="1"/>
    </xf>
    <xf numFmtId="0" fontId="11" fillId="5" borderId="57" xfId="0" applyFont="1" applyFill="1" applyBorder="1" applyAlignment="1">
      <alignment horizontal="center" vertical="center" wrapText="1"/>
    </xf>
    <xf numFmtId="0" fontId="11" fillId="5" borderId="63" xfId="0" applyFont="1" applyFill="1" applyBorder="1" applyAlignment="1">
      <alignment horizontal="center" vertical="center" wrapText="1"/>
    </xf>
    <xf numFmtId="0" fontId="11" fillId="5" borderId="53" xfId="0" applyFont="1" applyFill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2" borderId="46" xfId="0" applyFont="1" applyFill="1" applyBorder="1" applyAlignment="1">
      <alignment horizontal="center" vertical="center"/>
    </xf>
    <xf numFmtId="0" fontId="11" fillId="2" borderId="48" xfId="0" applyFont="1" applyFill="1" applyBorder="1" applyAlignment="1">
      <alignment horizontal="center" vertical="center"/>
    </xf>
    <xf numFmtId="0" fontId="11" fillId="2" borderId="63" xfId="0" applyFont="1" applyFill="1" applyBorder="1" applyAlignment="1">
      <alignment horizontal="center" vertical="center"/>
    </xf>
    <xf numFmtId="0" fontId="11" fillId="5" borderId="22" xfId="0" applyFont="1" applyFill="1" applyBorder="1" applyAlignment="1">
      <alignment horizontal="center" vertical="center"/>
    </xf>
    <xf numFmtId="0" fontId="11" fillId="5" borderId="23" xfId="0" applyFont="1" applyFill="1" applyBorder="1" applyAlignment="1">
      <alignment horizontal="center" vertical="center"/>
    </xf>
    <xf numFmtId="0" fontId="11" fillId="5" borderId="24" xfId="0" applyFont="1" applyFill="1" applyBorder="1" applyAlignment="1">
      <alignment horizontal="center" vertical="center"/>
    </xf>
    <xf numFmtId="0" fontId="11" fillId="5" borderId="22" xfId="0" applyFont="1" applyFill="1" applyBorder="1" applyAlignment="1">
      <alignment horizontal="center" vertical="center" wrapText="1"/>
    </xf>
    <xf numFmtId="0" fontId="11" fillId="5" borderId="24" xfId="0" applyFont="1" applyFill="1" applyBorder="1" applyAlignment="1">
      <alignment horizontal="center" vertical="center" wrapText="1"/>
    </xf>
    <xf numFmtId="0" fontId="11" fillId="5" borderId="25" xfId="0" applyFont="1" applyFill="1" applyBorder="1" applyAlignment="1">
      <alignment horizontal="center" vertical="center" wrapText="1"/>
    </xf>
    <xf numFmtId="0" fontId="11" fillId="5" borderId="26" xfId="0" applyFont="1" applyFill="1" applyBorder="1" applyAlignment="1">
      <alignment horizontal="center" vertical="center" wrapText="1"/>
    </xf>
    <xf numFmtId="0" fontId="11" fillId="5" borderId="64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1" fillId="5" borderId="65" xfId="0" applyFont="1" applyFill="1" applyBorder="1" applyAlignment="1">
      <alignment horizontal="center" vertical="center" wrapText="1"/>
    </xf>
    <xf numFmtId="0" fontId="11" fillId="2" borderId="44" xfId="0" applyFont="1" applyFill="1" applyBorder="1" applyAlignment="1">
      <alignment horizontal="center" vertical="center"/>
    </xf>
    <xf numFmtId="0" fontId="11" fillId="2" borderId="47" xfId="0" applyFont="1" applyFill="1" applyBorder="1" applyAlignment="1">
      <alignment horizontal="center" vertical="center"/>
    </xf>
    <xf numFmtId="0" fontId="11" fillId="2" borderId="61" xfId="0" applyFont="1" applyFill="1" applyBorder="1" applyAlignment="1">
      <alignment horizontal="center" vertical="center"/>
    </xf>
    <xf numFmtId="0" fontId="11" fillId="2" borderId="4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2" xfId="0" applyFont="1" applyFill="1" applyBorder="1" applyAlignment="1">
      <alignment horizontal="center" vertical="center"/>
    </xf>
    <xf numFmtId="0" fontId="11" fillId="2" borderId="137" xfId="0" applyFont="1" applyFill="1" applyBorder="1" applyAlignment="1">
      <alignment horizontal="center" vertical="center"/>
    </xf>
    <xf numFmtId="0" fontId="11" fillId="2" borderId="33" xfId="0" applyFont="1" applyFill="1" applyBorder="1" applyAlignment="1">
      <alignment horizontal="center" vertical="center"/>
    </xf>
    <xf numFmtId="0" fontId="11" fillId="2" borderId="138" xfId="0" applyFont="1" applyFill="1" applyBorder="1" applyAlignment="1">
      <alignment horizontal="center" vertical="center"/>
    </xf>
    <xf numFmtId="0" fontId="11" fillId="2" borderId="142" xfId="0" applyFont="1" applyFill="1" applyBorder="1" applyAlignment="1">
      <alignment horizontal="center" vertical="center" wrapText="1"/>
    </xf>
    <xf numFmtId="0" fontId="11" fillId="2" borderId="143" xfId="0" applyFont="1" applyFill="1" applyBorder="1" applyAlignment="1">
      <alignment horizontal="center" vertical="center" wrapText="1"/>
    </xf>
    <xf numFmtId="0" fontId="11" fillId="2" borderId="144" xfId="0" applyFont="1" applyFill="1" applyBorder="1" applyAlignment="1">
      <alignment horizontal="center" vertical="center" wrapText="1"/>
    </xf>
    <xf numFmtId="0" fontId="11" fillId="2" borderId="139" xfId="0" applyFont="1" applyFill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40" xfId="0" applyFont="1" applyFill="1" applyBorder="1" applyAlignment="1">
      <alignment horizontal="center" vertical="center"/>
    </xf>
    <xf numFmtId="0" fontId="9" fillId="0" borderId="121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128" xfId="0" applyFont="1" applyBorder="1" applyAlignment="1">
      <alignment horizontal="center" vertical="center"/>
    </xf>
    <xf numFmtId="0" fontId="9" fillId="0" borderId="12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9" fillId="6" borderId="129" xfId="0" applyFont="1" applyFill="1" applyBorder="1" applyAlignment="1">
      <alignment horizontal="center"/>
    </xf>
    <xf numFmtId="0" fontId="19" fillId="6" borderId="130" xfId="0" applyFont="1" applyFill="1" applyBorder="1" applyAlignment="1">
      <alignment horizontal="center"/>
    </xf>
    <xf numFmtId="0" fontId="21" fillId="6" borderId="137" xfId="0" applyFont="1" applyFill="1" applyBorder="1" applyAlignment="1">
      <alignment horizontal="right" vertical="center" wrapText="1"/>
    </xf>
    <xf numFmtId="0" fontId="21" fillId="6" borderId="33" xfId="0" applyFont="1" applyFill="1" applyBorder="1" applyAlignment="1">
      <alignment horizontal="right" vertical="center" wrapText="1"/>
    </xf>
    <xf numFmtId="0" fontId="21" fillId="6" borderId="138" xfId="0" applyFont="1" applyFill="1" applyBorder="1" applyAlignment="1">
      <alignment horizontal="right" vertical="center" wrapText="1"/>
    </xf>
    <xf numFmtId="0" fontId="21" fillId="6" borderId="129" xfId="0" applyFont="1" applyFill="1" applyBorder="1" applyAlignment="1">
      <alignment horizontal="center" vertical="center" wrapText="1"/>
    </xf>
    <xf numFmtId="0" fontId="21" fillId="6" borderId="130" xfId="0" applyFont="1" applyFill="1" applyBorder="1" applyAlignment="1">
      <alignment horizontal="center" vertical="center" wrapText="1"/>
    </xf>
    <xf numFmtId="0" fontId="21" fillId="6" borderId="131" xfId="0" applyFont="1" applyFill="1" applyBorder="1" applyAlignment="1">
      <alignment horizontal="center" vertical="center" wrapText="1"/>
    </xf>
    <xf numFmtId="0" fontId="21" fillId="6" borderId="74" xfId="0" applyFont="1" applyFill="1" applyBorder="1" applyAlignment="1">
      <alignment horizontal="center" vertical="center" wrapText="1"/>
    </xf>
    <xf numFmtId="0" fontId="21" fillId="6" borderId="75" xfId="0" applyFont="1" applyFill="1" applyBorder="1" applyAlignment="1">
      <alignment horizontal="center" vertical="center" wrapText="1"/>
    </xf>
    <xf numFmtId="0" fontId="21" fillId="6" borderId="129" xfId="0" applyFont="1" applyFill="1" applyBorder="1" applyAlignment="1">
      <alignment horizontal="center" vertical="center"/>
    </xf>
    <xf numFmtId="0" fontId="21" fillId="6" borderId="131" xfId="0" applyFont="1" applyFill="1" applyBorder="1" applyAlignment="1">
      <alignment horizontal="center" vertical="center"/>
    </xf>
    <xf numFmtId="0" fontId="24" fillId="0" borderId="34" xfId="0" applyFont="1" applyBorder="1" applyAlignment="1">
      <alignment horizontal="left" vertical="center" wrapText="1"/>
    </xf>
    <xf numFmtId="0" fontId="24" fillId="0" borderId="140" xfId="0" applyFont="1" applyBorder="1" applyAlignment="1">
      <alignment horizontal="left" vertical="center" wrapText="1"/>
    </xf>
    <xf numFmtId="0" fontId="21" fillId="6" borderId="33" xfId="0" applyFont="1" applyFill="1" applyBorder="1" applyAlignment="1">
      <alignment horizontal="right" vertical="center"/>
    </xf>
    <xf numFmtId="0" fontId="21" fillId="6" borderId="138" xfId="0" applyFont="1" applyFill="1" applyBorder="1" applyAlignment="1">
      <alignment horizontal="right" vertical="center"/>
    </xf>
    <xf numFmtId="10" fontId="21" fillId="6" borderId="137" xfId="0" applyNumberFormat="1" applyFont="1" applyFill="1" applyBorder="1" applyAlignment="1">
      <alignment horizontal="right" vertical="center"/>
    </xf>
    <xf numFmtId="10" fontId="21" fillId="6" borderId="33" xfId="0" applyNumberFormat="1" applyFont="1" applyFill="1" applyBorder="1" applyAlignment="1">
      <alignment horizontal="right" vertical="center"/>
    </xf>
    <xf numFmtId="10" fontId="21" fillId="6" borderId="138" xfId="0" applyNumberFormat="1" applyFont="1" applyFill="1" applyBorder="1" applyAlignment="1">
      <alignment horizontal="right" vertical="center"/>
    </xf>
    <xf numFmtId="0" fontId="21" fillId="6" borderId="85" xfId="0" applyFont="1" applyFill="1" applyBorder="1" applyAlignment="1">
      <alignment horizontal="center"/>
    </xf>
    <xf numFmtId="0" fontId="21" fillId="6" borderId="83" xfId="0" applyFont="1" applyFill="1" applyBorder="1" applyAlignment="1">
      <alignment horizontal="center"/>
    </xf>
    <xf numFmtId="0" fontId="21" fillId="6" borderId="86" xfId="0" applyFont="1" applyFill="1" applyBorder="1" applyAlignment="1">
      <alignment horizontal="center"/>
    </xf>
    <xf numFmtId="10" fontId="21" fillId="6" borderId="74" xfId="0" applyNumberFormat="1" applyFont="1" applyFill="1" applyBorder="1" applyAlignment="1">
      <alignment horizontal="center" vertical="center" wrapText="1"/>
    </xf>
    <xf numFmtId="10" fontId="21" fillId="6" borderId="60" xfId="0" applyNumberFormat="1" applyFont="1" applyFill="1" applyBorder="1" applyAlignment="1">
      <alignment horizontal="center" vertical="center" wrapText="1"/>
    </xf>
    <xf numFmtId="10" fontId="21" fillId="6" borderId="75" xfId="0" applyNumberFormat="1" applyFont="1" applyFill="1" applyBorder="1" applyAlignment="1">
      <alignment horizontal="center" vertical="center" wrapText="1"/>
    </xf>
    <xf numFmtId="0" fontId="13" fillId="0" borderId="123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124" xfId="0" applyFont="1" applyBorder="1" applyAlignment="1">
      <alignment horizontal="left" vertical="center"/>
    </xf>
    <xf numFmtId="0" fontId="13" fillId="0" borderId="121" xfId="0" applyFont="1" applyBorder="1" applyAlignment="1">
      <alignment horizontal="left" vertical="center"/>
    </xf>
    <xf numFmtId="0" fontId="13" fillId="0" borderId="64" xfId="0" applyFont="1" applyBorder="1" applyAlignment="1">
      <alignment horizontal="left" vertical="center"/>
    </xf>
    <xf numFmtId="0" fontId="13" fillId="0" borderId="122" xfId="0" applyFont="1" applyBorder="1" applyAlignment="1">
      <alignment horizontal="left" vertical="center"/>
    </xf>
    <xf numFmtId="0" fontId="13" fillId="0" borderId="123" xfId="0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0" borderId="124" xfId="0" applyFont="1" applyBorder="1" applyAlignment="1">
      <alignment horizontal="left" vertical="center" wrapText="1"/>
    </xf>
    <xf numFmtId="0" fontId="13" fillId="0" borderId="125" xfId="0" applyFont="1" applyBorder="1" applyAlignment="1">
      <alignment horizontal="left" vertical="center"/>
    </xf>
    <xf numFmtId="0" fontId="13" fillId="0" borderId="65" xfId="0" applyFont="1" applyBorder="1" applyAlignment="1">
      <alignment horizontal="left" vertical="center"/>
    </xf>
    <xf numFmtId="0" fontId="13" fillId="0" borderId="89" xfId="0" applyFont="1" applyBorder="1" applyAlignment="1">
      <alignment horizontal="left" vertical="center"/>
    </xf>
    <xf numFmtId="0" fontId="24" fillId="0" borderId="168" xfId="0" applyFont="1" applyBorder="1" applyAlignment="1">
      <alignment horizontal="left" vertical="center"/>
    </xf>
    <xf numFmtId="0" fontId="24" fillId="0" borderId="164" xfId="0" applyFont="1" applyBorder="1" applyAlignment="1">
      <alignment horizontal="left" vertical="center"/>
    </xf>
    <xf numFmtId="0" fontId="24" fillId="0" borderId="169" xfId="0" applyFont="1" applyBorder="1" applyAlignment="1">
      <alignment horizontal="left" vertical="center"/>
    </xf>
    <xf numFmtId="0" fontId="24" fillId="0" borderId="168" xfId="0" applyFont="1" applyBorder="1" applyAlignment="1">
      <alignment horizontal="left"/>
    </xf>
    <xf numFmtId="0" fontId="24" fillId="0" borderId="164" xfId="0" applyFont="1" applyBorder="1" applyAlignment="1">
      <alignment horizontal="left"/>
    </xf>
    <xf numFmtId="0" fontId="24" fillId="0" borderId="169" xfId="0" applyFont="1" applyBorder="1" applyAlignment="1">
      <alignment horizontal="left"/>
    </xf>
    <xf numFmtId="0" fontId="24" fillId="0" borderId="170" xfId="0" applyFont="1" applyBorder="1" applyAlignment="1">
      <alignment horizontal="left"/>
    </xf>
    <xf numFmtId="0" fontId="24" fillId="0" borderId="171" xfId="0" applyFont="1" applyBorder="1" applyAlignment="1">
      <alignment horizontal="left"/>
    </xf>
    <xf numFmtId="0" fontId="24" fillId="0" borderId="172" xfId="0" applyFont="1" applyBorder="1" applyAlignment="1">
      <alignment horizontal="left"/>
    </xf>
    <xf numFmtId="0" fontId="21" fillId="6" borderId="64" xfId="0" applyFont="1" applyFill="1" applyBorder="1" applyAlignment="1">
      <alignment horizontal="center" vertical="center" wrapText="1"/>
    </xf>
    <xf numFmtId="0" fontId="21" fillId="6" borderId="122" xfId="0" applyFont="1" applyFill="1" applyBorder="1" applyAlignment="1">
      <alignment horizontal="center" vertical="center" wrapText="1"/>
    </xf>
    <xf numFmtId="0" fontId="24" fillId="0" borderId="60" xfId="0" applyFont="1" applyBorder="1" applyAlignment="1">
      <alignment horizontal="left" vertical="center" wrapText="1"/>
    </xf>
    <xf numFmtId="0" fontId="24" fillId="0" borderId="75" xfId="0" applyFont="1" applyBorder="1" applyAlignment="1">
      <alignment horizontal="left" vertical="center" wrapText="1"/>
    </xf>
    <xf numFmtId="0" fontId="21" fillId="6" borderId="123" xfId="0" applyFont="1" applyFill="1" applyBorder="1" applyAlignment="1">
      <alignment horizontal="right" vertical="center"/>
    </xf>
    <xf numFmtId="0" fontId="21" fillId="6" borderId="125" xfId="0" applyFont="1" applyFill="1" applyBorder="1" applyAlignment="1">
      <alignment horizontal="right" vertical="center"/>
    </xf>
    <xf numFmtId="0" fontId="21" fillId="6" borderId="64" xfId="0" applyFont="1" applyFill="1" applyBorder="1" applyAlignment="1">
      <alignment horizontal="right" vertical="center" wrapText="1"/>
    </xf>
    <xf numFmtId="0" fontId="21" fillId="6" borderId="0" xfId="0" applyFont="1" applyFill="1" applyAlignment="1">
      <alignment horizontal="right" vertical="center" wrapText="1"/>
    </xf>
    <xf numFmtId="0" fontId="21" fillId="6" borderId="65" xfId="0" applyFont="1" applyFill="1" applyBorder="1" applyAlignment="1">
      <alignment horizontal="right" vertical="center" wrapText="1"/>
    </xf>
    <xf numFmtId="10" fontId="21" fillId="6" borderId="121" xfId="0" applyNumberFormat="1" applyFont="1" applyFill="1" applyBorder="1" applyAlignment="1">
      <alignment horizontal="right" vertical="center" wrapText="1"/>
    </xf>
    <xf numFmtId="10" fontId="21" fillId="6" borderId="123" xfId="0" applyNumberFormat="1" applyFont="1" applyFill="1" applyBorder="1" applyAlignment="1">
      <alignment horizontal="right" vertical="center"/>
    </xf>
    <xf numFmtId="10" fontId="21" fillId="6" borderId="125" xfId="0" applyNumberFormat="1" applyFont="1" applyFill="1" applyBorder="1" applyAlignment="1">
      <alignment horizontal="right" vertical="center"/>
    </xf>
    <xf numFmtId="0" fontId="21" fillId="6" borderId="121" xfId="0" applyFont="1" applyFill="1" applyBorder="1" applyAlignment="1">
      <alignment horizontal="right" vertical="center" wrapText="1"/>
    </xf>
    <xf numFmtId="0" fontId="21" fillId="6" borderId="123" xfId="0" applyFont="1" applyFill="1" applyBorder="1" applyAlignment="1">
      <alignment horizontal="right" vertical="center" wrapText="1"/>
    </xf>
    <xf numFmtId="0" fontId="21" fillId="6" borderId="125" xfId="0" applyFont="1" applyFill="1" applyBorder="1" applyAlignment="1">
      <alignment horizontal="right" vertical="center" wrapText="1"/>
    </xf>
    <xf numFmtId="0" fontId="24" fillId="0" borderId="165" xfId="0" applyFont="1" applyBorder="1" applyAlignment="1">
      <alignment horizontal="left" vertical="center"/>
    </xf>
    <xf numFmtId="0" fontId="24" fillId="0" borderId="166" xfId="0" applyFont="1" applyBorder="1" applyAlignment="1">
      <alignment horizontal="left" vertical="center"/>
    </xf>
    <xf numFmtId="0" fontId="24" fillId="0" borderId="167" xfId="0" applyFont="1" applyBorder="1" applyAlignment="1">
      <alignment horizontal="left" vertical="center"/>
    </xf>
    <xf numFmtId="0" fontId="21" fillId="6" borderId="158" xfId="0" applyFont="1" applyFill="1" applyBorder="1" applyAlignment="1">
      <alignment horizontal="center" vertical="center"/>
    </xf>
    <xf numFmtId="0" fontId="21" fillId="6" borderId="162" xfId="0" applyFont="1" applyFill="1" applyBorder="1" applyAlignment="1">
      <alignment horizontal="center" vertical="center"/>
    </xf>
    <xf numFmtId="0" fontId="21" fillId="6" borderId="163" xfId="0" applyFont="1" applyFill="1" applyBorder="1" applyAlignment="1">
      <alignment horizontal="center" vertical="center"/>
    </xf>
    <xf numFmtId="0" fontId="9" fillId="0" borderId="122" xfId="0" applyFont="1" applyBorder="1" applyAlignment="1">
      <alignment horizontal="center" vertical="center"/>
    </xf>
    <xf numFmtId="0" fontId="9" fillId="0" borderId="124" xfId="0" applyFont="1" applyBorder="1" applyAlignment="1">
      <alignment horizontal="center" vertical="center"/>
    </xf>
    <xf numFmtId="0" fontId="9" fillId="0" borderId="125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89" xfId="0" applyFont="1" applyBorder="1" applyAlignment="1">
      <alignment horizontal="center" vertical="center"/>
    </xf>
    <xf numFmtId="0" fontId="19" fillId="6" borderId="131" xfId="0" applyFont="1" applyFill="1" applyBorder="1" applyAlignment="1">
      <alignment horizontal="center"/>
    </xf>
    <xf numFmtId="0" fontId="21" fillId="6" borderId="137" xfId="0" applyFont="1" applyFill="1" applyBorder="1" applyAlignment="1">
      <alignment horizontal="center" vertical="center"/>
    </xf>
    <xf numFmtId="0" fontId="21" fillId="6" borderId="33" xfId="0" applyFont="1" applyFill="1" applyBorder="1" applyAlignment="1">
      <alignment horizontal="center" vertical="center"/>
    </xf>
    <xf numFmtId="0" fontId="21" fillId="6" borderId="142" xfId="0" applyFont="1" applyFill="1" applyBorder="1" applyAlignment="1">
      <alignment horizontal="center" vertical="center" wrapText="1"/>
    </xf>
    <xf numFmtId="0" fontId="21" fillId="6" borderId="143" xfId="0" applyFont="1" applyFill="1" applyBorder="1" applyAlignment="1">
      <alignment horizontal="center" vertical="center" wrapText="1"/>
    </xf>
    <xf numFmtId="0" fontId="21" fillId="6" borderId="134" xfId="0" applyFont="1" applyFill="1" applyBorder="1" applyAlignment="1">
      <alignment horizontal="center" vertical="center"/>
    </xf>
    <xf numFmtId="0" fontId="21" fillId="6" borderId="135" xfId="0" applyFont="1" applyFill="1" applyBorder="1" applyAlignment="1">
      <alignment horizontal="center" vertical="center"/>
    </xf>
    <xf numFmtId="0" fontId="19" fillId="6" borderId="114" xfId="0" applyFont="1" applyFill="1" applyBorder="1" applyAlignment="1">
      <alignment horizontal="center" vertical="center"/>
    </xf>
    <xf numFmtId="0" fontId="19" fillId="6" borderId="159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0" fontId="19" fillId="6" borderId="115" xfId="0" applyFont="1" applyFill="1" applyBorder="1" applyAlignment="1">
      <alignment horizontal="center" vertical="center"/>
    </xf>
    <xf numFmtId="0" fontId="20" fillId="6" borderId="57" xfId="0" applyFont="1" applyFill="1" applyBorder="1" applyAlignment="1">
      <alignment horizontal="center" vertical="center"/>
    </xf>
    <xf numFmtId="49" fontId="7" fillId="0" borderId="2" xfId="3" applyNumberFormat="1" applyBorder="1" applyAlignment="1">
      <alignment horizontal="center" vertical="center"/>
    </xf>
    <xf numFmtId="49" fontId="7" fillId="11" borderId="2" xfId="3" applyNumberFormat="1" applyFill="1" applyBorder="1" applyAlignment="1">
      <alignment horizontal="center" vertical="center"/>
    </xf>
    <xf numFmtId="49" fontId="7" fillId="12" borderId="2" xfId="3" applyNumberFormat="1" applyFill="1" applyBorder="1" applyAlignment="1">
      <alignment horizontal="center" vertical="center"/>
    </xf>
    <xf numFmtId="49" fontId="5" fillId="9" borderId="2" xfId="3" applyNumberFormat="1" applyFont="1" applyFill="1" applyBorder="1" applyAlignment="1">
      <alignment horizontal="center" vertical="center"/>
    </xf>
    <xf numFmtId="49" fontId="7" fillId="9" borderId="2" xfId="3" applyNumberFormat="1" applyFill="1" applyBorder="1" applyAlignment="1">
      <alignment horizontal="center" vertical="center"/>
    </xf>
    <xf numFmtId="44" fontId="7" fillId="0" borderId="110" xfId="3" applyNumberFormat="1" applyBorder="1"/>
    <xf numFmtId="44" fontId="7" fillId="0" borderId="173" xfId="3" applyNumberFormat="1" applyBorder="1"/>
    <xf numFmtId="44" fontId="7" fillId="0" borderId="112" xfId="3" applyNumberFormat="1" applyBorder="1"/>
    <xf numFmtId="44" fontId="7" fillId="0" borderId="0" xfId="3" applyNumberFormat="1" applyBorder="1"/>
    <xf numFmtId="44" fontId="8" fillId="0" borderId="2" xfId="4" applyFont="1" applyFill="1" applyBorder="1" applyAlignment="1">
      <alignment horizontal="center" vertical="center"/>
    </xf>
    <xf numFmtId="2" fontId="29" fillId="10" borderId="2" xfId="3" applyNumberFormat="1" applyFont="1" applyFill="1" applyBorder="1" applyAlignment="1">
      <alignment horizontal="center" vertical="center"/>
    </xf>
    <xf numFmtId="0" fontId="29" fillId="10" borderId="2" xfId="3" applyFont="1" applyFill="1" applyBorder="1" applyAlignment="1">
      <alignment horizontal="center" vertical="center"/>
    </xf>
    <xf numFmtId="0" fontId="30" fillId="13" borderId="2" xfId="3" applyFont="1" applyFill="1" applyBorder="1" applyAlignment="1">
      <alignment horizontal="center" vertical="center"/>
    </xf>
    <xf numFmtId="14" fontId="30" fillId="13" borderId="2" xfId="3" applyNumberFormat="1" applyFont="1" applyFill="1" applyBorder="1" applyAlignment="1">
      <alignment horizontal="center" vertical="center"/>
    </xf>
    <xf numFmtId="10" fontId="30" fillId="13" borderId="2" xfId="3" applyNumberFormat="1" applyFont="1" applyFill="1" applyBorder="1" applyAlignment="1">
      <alignment horizontal="center" vertical="center"/>
    </xf>
    <xf numFmtId="0" fontId="29" fillId="10" borderId="173" xfId="3" applyFont="1" applyFill="1" applyBorder="1" applyAlignment="1">
      <alignment vertical="center"/>
    </xf>
    <xf numFmtId="0" fontId="29" fillId="10" borderId="174" xfId="3" applyFont="1" applyFill="1" applyBorder="1" applyAlignment="1">
      <alignment vertical="center"/>
    </xf>
  </cellXfs>
  <cellStyles count="8">
    <cellStyle name="Moneda 2" xfId="4" xr:uid="{D1320C96-E4D8-49ED-B372-F44070FB837E}"/>
    <cellStyle name="Normal" xfId="0" builtinId="0"/>
    <cellStyle name="Normal 2" xfId="1" xr:uid="{00000000-0005-0000-0000-000001000000}"/>
    <cellStyle name="Normal 3" xfId="3" xr:uid="{4AA80466-299D-46F8-9B31-604177BE6B3F}"/>
    <cellStyle name="Normal 4" xfId="6" xr:uid="{7361B082-8347-4F05-8CFF-EBB8F67FE73C}"/>
    <cellStyle name="Porcentaje" xfId="2" builtinId="5"/>
    <cellStyle name="Porcentaje 2" xfId="5" xr:uid="{2B5820DD-CF8D-4082-9667-51093C28BE6F}"/>
    <cellStyle name="Porcentaje 3" xfId="7" xr:uid="{29C43428-6A47-4A7D-9F9D-FE73F5394690}"/>
  </cellStyles>
  <dxfs count="9">
    <dxf>
      <font>
        <b/>
        <i val="0"/>
      </font>
      <fill>
        <patternFill>
          <bgColor theme="6" tint="0.59996337778862885"/>
        </patternFill>
      </fill>
    </dxf>
    <dxf>
      <font>
        <b/>
        <i val="0"/>
      </font>
      <fill>
        <patternFill>
          <bgColor theme="6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3" tint="0.59996337778862885"/>
        </patternFill>
      </fill>
    </dxf>
    <dxf>
      <font>
        <b/>
        <i val="0"/>
      </font>
      <fill>
        <patternFill>
          <bgColor rgb="FFE79999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FFFF99"/>
      <color rgb="FFFFFF5B"/>
      <color rgb="FFCCFF99"/>
      <color rgb="FFFFFFCC"/>
      <color rgb="FFE79999"/>
      <color rgb="FFFF9966"/>
      <color rgb="FFEBF1DE"/>
      <color rgb="FFFFFF66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AVANCE GLOBAL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340398251567312"/>
          <c:y val="5.0269687162891034E-2"/>
          <c:w val="0.85992934572738644"/>
          <c:h val="0.9022653721682848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'Resumen Ejecutivo'!$F$50</c:f>
              <c:strCache>
                <c:ptCount val="1"/>
                <c:pt idx="0">
                  <c:v>AVANCE GLOBAL</c:v>
                </c:pt>
              </c:strCache>
            </c:strRef>
          </c:tx>
          <c:spPr>
            <a:gradFill flip="none" rotWithShape="1">
              <a:gsLst>
                <a:gs pos="0">
                  <a:schemeClr val="bg1">
                    <a:lumMod val="50000"/>
                    <a:shade val="30000"/>
                    <a:satMod val="115000"/>
                  </a:schemeClr>
                </a:gs>
                <a:gs pos="50000">
                  <a:schemeClr val="bg1">
                    <a:lumMod val="50000"/>
                    <a:shade val="67500"/>
                    <a:satMod val="115000"/>
                  </a:schemeClr>
                </a:gs>
                <a:gs pos="100000">
                  <a:schemeClr val="bg1">
                    <a:lumMod val="50000"/>
                    <a:shade val="100000"/>
                    <a:satMod val="115000"/>
                  </a:schemeClr>
                </a:gs>
              </a:gsLst>
              <a:path path="circle">
                <a:fillToRect l="100000" b="100000"/>
              </a:path>
              <a:tileRect t="-100000" r="-100000"/>
            </a:gradFill>
            <a:ln w="3175" cap="flat" cmpd="sng" algn="ctr">
              <a:solidFill>
                <a:sysClr val="windowText" lastClr="000000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sp3d contourW="3175">
              <a:contourClr>
                <a:sysClr val="windowText" lastClr="000000"/>
              </a:contourClr>
            </a:sp3d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Parque</a:t>
                    </a:r>
                  </a:p>
                  <a:p>
                    <a:fld id="{814F1D2B-9BFA-4D5C-A70B-E8351AB53A9B}" type="VALUE">
                      <a:rPr lang="en-US"/>
                      <a:pPr/>
                      <a:t>[VALOR]</a:t>
                    </a:fld>
                    <a:endParaRPr lang="es-MX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8BA-4C3A-8B78-D353D6310C1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LT</a:t>
                    </a:r>
                  </a:p>
                  <a:p>
                    <a:fld id="{8FB9AA80-DBBB-47C3-AB85-C5F468D915CE}" type="VALUE">
                      <a:rPr lang="en-US"/>
                      <a:pPr/>
                      <a:t>[VALOR]</a:t>
                    </a:fld>
                    <a:endParaRPr lang="es-MX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98BA-4C3A-8B78-D353D6310C1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Global</a:t>
                    </a:r>
                  </a:p>
                  <a:p>
                    <a:fld id="{8E90A936-495E-4A56-8F32-03890D46A9E4}" type="VALUE">
                      <a:rPr lang="en-US"/>
                      <a:pPr/>
                      <a:t>[VALOR]</a:t>
                    </a:fld>
                    <a:endParaRPr lang="es-MX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8BA-4C3A-8B78-D353D6310C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'Resumen Ejecutivo'!$K$50:$M$50</c:f>
              <c:numCache>
                <c:formatCode>0.00%</c:formatCode>
                <c:ptCount val="3"/>
                <c:pt idx="0">
                  <c:v>0.64381250000000034</c:v>
                </c:pt>
                <c:pt idx="1">
                  <c:v>0.56043750000000014</c:v>
                </c:pt>
                <c:pt idx="2">
                  <c:v>0.62713750000000013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BA-4C3A-8B78-D353D6310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981760543"/>
        <c:axId val="1972892399"/>
        <c:axId val="0"/>
      </c:bar3DChart>
      <c:catAx>
        <c:axId val="1981760543"/>
        <c:scaling>
          <c:orientation val="minMax"/>
        </c:scaling>
        <c:delete val="1"/>
        <c:axPos val="b"/>
        <c:majorTickMark val="none"/>
        <c:minorTickMark val="none"/>
        <c:tickLblPos val="nextTo"/>
        <c:crossAx val="1972892399"/>
        <c:crosses val="autoZero"/>
        <c:auto val="1"/>
        <c:lblAlgn val="ctr"/>
        <c:lblOffset val="100"/>
        <c:noMultiLvlLbl val="0"/>
      </c:catAx>
      <c:valAx>
        <c:axId val="197289239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s-MX"/>
          </a:p>
        </c:txPr>
        <c:crossAx val="1981760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s-MX"/>
              <a:t>GRUPO DE ATENCIÓN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3175" cap="flat" cmpd="sng" algn="ctr">
              <a:solidFill>
                <a:sysClr val="windowText" lastClr="000000"/>
              </a:solidFill>
              <a:round/>
            </a:ln>
            <a:effectLst/>
            <a:sp3d contourW="3175">
              <a:contourClr>
                <a:sysClr val="windowText" lastClr="000000"/>
              </a:contourClr>
            </a:sp3d>
          </c:spPr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0">
                    <a:srgbClr val="00B050">
                      <a:shade val="30000"/>
                      <a:satMod val="115000"/>
                    </a:srgbClr>
                  </a:gs>
                  <a:gs pos="50000">
                    <a:srgbClr val="00B050">
                      <a:shade val="67500"/>
                      <a:satMod val="115000"/>
                    </a:srgbClr>
                  </a:gs>
                  <a:gs pos="100000">
                    <a:srgbClr val="00B050">
                      <a:shade val="100000"/>
                      <a:satMod val="115000"/>
                    </a:srgbClr>
                  </a:gs>
                </a:gsLst>
                <a:path path="circle">
                  <a:fillToRect l="100000" b="100000"/>
                </a:path>
                <a:tileRect t="-100000" r="-100000"/>
              </a:gradFill>
              <a:ln w="3175" cap="flat" cmpd="sng" algn="ctr">
                <a:solidFill>
                  <a:sysClr val="windowText" lastClr="000000"/>
                </a:solidFill>
                <a:round/>
              </a:ln>
              <a:effectLst/>
              <a:sp3d contourW="3175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5EA-4FDE-BFDA-88AFDF23E77E}"/>
              </c:ext>
            </c:extLst>
          </c:dPt>
          <c:dPt>
            <c:idx val="1"/>
            <c:invertIfNegative val="0"/>
            <c:bubble3D val="0"/>
            <c:spPr>
              <a:gradFill flip="none" rotWithShape="1">
                <a:gsLst>
                  <a:gs pos="0">
                    <a:srgbClr val="FFFF00">
                      <a:shade val="30000"/>
                      <a:satMod val="115000"/>
                    </a:srgbClr>
                  </a:gs>
                  <a:gs pos="50000">
                    <a:srgbClr val="FFFF00">
                      <a:shade val="67500"/>
                      <a:satMod val="115000"/>
                    </a:srgbClr>
                  </a:gs>
                  <a:gs pos="100000">
                    <a:srgbClr val="FFFF00">
                      <a:shade val="100000"/>
                      <a:satMod val="115000"/>
                    </a:srgbClr>
                  </a:gs>
                </a:gsLst>
                <a:path path="circle">
                  <a:fillToRect l="100000" b="100000"/>
                </a:path>
                <a:tileRect t="-100000" r="-100000"/>
              </a:gradFill>
              <a:ln w="3175" cap="flat" cmpd="sng" algn="ctr">
                <a:solidFill>
                  <a:sysClr val="windowText" lastClr="000000"/>
                </a:solidFill>
                <a:round/>
              </a:ln>
              <a:effectLst/>
              <a:sp3d contourW="3175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5EA-4FDE-BFDA-88AFDF23E77E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0">
                    <a:srgbClr val="FF0000">
                      <a:shade val="30000"/>
                      <a:satMod val="115000"/>
                    </a:srgbClr>
                  </a:gs>
                  <a:gs pos="50000">
                    <a:srgbClr val="FF0000">
                      <a:shade val="67500"/>
                      <a:satMod val="115000"/>
                    </a:srgbClr>
                  </a:gs>
                  <a:gs pos="100000">
                    <a:srgbClr val="FF0000">
                      <a:shade val="100000"/>
                      <a:satMod val="115000"/>
                    </a:srgbClr>
                  </a:gs>
                </a:gsLst>
                <a:path path="circle">
                  <a:fillToRect l="100000" b="100000"/>
                </a:path>
                <a:tileRect t="-100000" r="-100000"/>
              </a:gradFill>
              <a:ln w="3175" cap="flat" cmpd="sng" algn="ctr">
                <a:solidFill>
                  <a:sysClr val="windowText" lastClr="000000"/>
                </a:solidFill>
                <a:round/>
              </a:ln>
              <a:effectLst/>
              <a:sp3d contourW="3175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5EA-4FDE-BFDA-88AFDF23E77E}"/>
              </c:ext>
            </c:extLst>
          </c:dPt>
          <c:dLbls>
            <c:dLbl>
              <c:idx val="0"/>
              <c:layout>
                <c:manualLayout>
                  <c:x val="2.2840827980014248E-2"/>
                  <c:y val="-3.426124197002149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Grupo</a:t>
                    </a:r>
                    <a:r>
                      <a:rPr lang="en-US" baseline="0"/>
                      <a:t> A</a:t>
                    </a:r>
                    <a:endParaRPr lang="en-US"/>
                  </a:p>
                  <a:p>
                    <a:fld id="{FCB8E7CE-D058-42E5-A1EB-779C1274993C}" type="VALUE">
                      <a:rPr lang="en-US"/>
                      <a:pPr/>
                      <a:t>[VALOR]</a:t>
                    </a:fld>
                    <a:endParaRPr lang="es-MX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5EA-4FDE-BFDA-88AFDF23E77E}"/>
                </c:ext>
              </c:extLst>
            </c:dLbl>
            <c:dLbl>
              <c:idx val="1"/>
              <c:layout>
                <c:manualLayout>
                  <c:x val="2.8551034975018369E-3"/>
                  <c:y val="-2.99785867237687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Grupo B</a:t>
                    </a:r>
                  </a:p>
                  <a:p>
                    <a:fld id="{D20EE90E-5868-4A59-8A54-3349FAAF11E0}" type="VALUE">
                      <a:rPr lang="en-US"/>
                      <a:pPr/>
                      <a:t>[VALOR]</a:t>
                    </a:fld>
                    <a:endParaRPr lang="es-MX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05EA-4FDE-BFDA-88AFDF23E7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  <a:p>
                    <a:r>
                      <a:rPr lang="en-US"/>
                      <a:t>Grupo C</a:t>
                    </a:r>
                  </a:p>
                  <a:p>
                    <a:fld id="{6F7EFFD5-F70B-4477-BBA4-5041DC5D91B3}" type="VALUE">
                      <a:rPr lang="en-US"/>
                      <a:pPr/>
                      <a:t>[VALOR]</a:t>
                    </a:fld>
                    <a:endParaRPr lang="es-MX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5EA-4FDE-BFDA-88AFDF23E7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Ejecutivo'!$R$9:$R$11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'Resumen Ejecutivo'!$S$9:$S$11</c:f>
              <c:numCache>
                <c:formatCode>General</c:formatCode>
                <c:ptCount val="3"/>
                <c:pt idx="0">
                  <c:v>6</c:v>
                </c:pt>
                <c:pt idx="1">
                  <c:v>13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EA-4FDE-BFDA-88AFDF23E7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979623567"/>
        <c:axId val="1972878959"/>
        <c:axId val="0"/>
      </c:bar3DChart>
      <c:catAx>
        <c:axId val="19796235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72878959"/>
        <c:crosses val="autoZero"/>
        <c:auto val="1"/>
        <c:lblAlgn val="ctr"/>
        <c:lblOffset val="100"/>
        <c:noMultiLvlLbl val="0"/>
      </c:catAx>
      <c:valAx>
        <c:axId val="197287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s-MX"/>
          </a:p>
        </c:txPr>
        <c:crossAx val="1979623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352424</xdr:colOff>
      <xdr:row>1</xdr:row>
      <xdr:rowOff>47625</xdr:rowOff>
    </xdr:from>
    <xdr:to>
      <xdr:col>3</xdr:col>
      <xdr:colOff>1323046</xdr:colOff>
      <xdr:row>4</xdr:row>
      <xdr:rowOff>133350</xdr:rowOff>
    </xdr:to>
    <xdr:pic>
      <xdr:nvPicPr>
        <xdr:cNvPr id="5" name="Imagen 1" descr="Imagen que contiene firmar, parada, naranja, alimentos&#10;&#10;Descripción generada automáticamente">
          <a:extLst>
            <a:ext uri="{FF2B5EF4-FFF2-40B4-BE49-F238E27FC236}">
              <a16:creationId xmlns:a16="http://schemas.microsoft.com/office/drawing/2014/main" id="{E99506A5-7EEC-406B-B1BC-E5643F2478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6774" y="228600"/>
          <a:ext cx="2542247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19051</xdr:colOff>
      <xdr:row>51</xdr:row>
      <xdr:rowOff>19049</xdr:rowOff>
    </xdr:from>
    <xdr:to>
      <xdr:col>4</xdr:col>
      <xdr:colOff>968114</xdr:colOff>
      <xdr:row>68</xdr:row>
      <xdr:rowOff>110424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03843EC-7283-5DB8-844C-2D6E5D886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1015999</xdr:colOff>
      <xdr:row>51</xdr:row>
      <xdr:rowOff>15873</xdr:rowOff>
    </xdr:from>
    <xdr:to>
      <xdr:col>15</xdr:col>
      <xdr:colOff>7624</xdr:colOff>
      <xdr:row>68</xdr:row>
      <xdr:rowOff>107248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BBED02F-91BB-3163-EA8E-8EB4C21EE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352424</xdr:colOff>
      <xdr:row>1</xdr:row>
      <xdr:rowOff>47625</xdr:rowOff>
    </xdr:from>
    <xdr:to>
      <xdr:col>3</xdr:col>
      <xdr:colOff>1323046</xdr:colOff>
      <xdr:row>4</xdr:row>
      <xdr:rowOff>133350</xdr:rowOff>
    </xdr:to>
    <xdr:pic>
      <xdr:nvPicPr>
        <xdr:cNvPr id="2" name="Imagen 1" descr="Imagen que contiene firmar, parada, naranja, alimentos&#10;&#10;Descripción generada automáticamente">
          <a:extLst>
            <a:ext uri="{FF2B5EF4-FFF2-40B4-BE49-F238E27FC236}">
              <a16:creationId xmlns:a16="http://schemas.microsoft.com/office/drawing/2014/main" id="{8A041827-96E4-4E8B-85B6-9711155B3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799" y="133350"/>
          <a:ext cx="2542247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111919</xdr:colOff>
      <xdr:row>1</xdr:row>
      <xdr:rowOff>23811</xdr:rowOff>
    </xdr:from>
    <xdr:to>
      <xdr:col>5</xdr:col>
      <xdr:colOff>629516</xdr:colOff>
      <xdr:row>5</xdr:row>
      <xdr:rowOff>297656</xdr:rowOff>
    </xdr:to>
    <xdr:pic>
      <xdr:nvPicPr>
        <xdr:cNvPr id="4" name="Imagen 1" descr="Imagen que contiene firmar, parada, naranja, alimentos&#10;&#10;Descripción generada automáticamente">
          <a:extLst>
            <a:ext uri="{FF2B5EF4-FFF2-40B4-BE49-F238E27FC236}">
              <a16:creationId xmlns:a16="http://schemas.microsoft.com/office/drawing/2014/main" id="{1AB7C484-F946-4B3E-9F66-73A2412410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607" y="190499"/>
          <a:ext cx="4791940" cy="988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AF97-A91F-4115-9A98-6C206A130AA0}">
  <sheetPr>
    <tabColor rgb="FF0070C0"/>
    <pageSetUpPr fitToPage="1"/>
  </sheetPr>
  <dimension ref="B1:S93"/>
  <sheetViews>
    <sheetView topLeftCell="A4" zoomScaleNormal="100" zoomScaleSheetLayoutView="80" workbookViewId="0">
      <selection activeCell="H27" sqref="H27"/>
    </sheetView>
  </sheetViews>
  <sheetFormatPr baseColWidth="10" defaultColWidth="11.42578125" defaultRowHeight="13.5" x14ac:dyDescent="0.25"/>
  <cols>
    <col min="1" max="1" width="3" style="2" customWidth="1"/>
    <col min="2" max="2" width="2.42578125" style="2" bestFit="1" customWidth="1"/>
    <col min="3" max="3" width="23.5703125" style="3" bestFit="1" customWidth="1"/>
    <col min="4" max="4" width="39.42578125" style="2" bestFit="1" customWidth="1"/>
    <col min="5" max="5" width="24.28515625" style="2" bestFit="1" customWidth="1"/>
    <col min="6" max="6" width="14.5703125" style="2" bestFit="1" customWidth="1"/>
    <col min="7" max="7" width="10.28515625" style="2" bestFit="1" customWidth="1"/>
    <col min="8" max="8" width="19" style="2" customWidth="1"/>
    <col min="9" max="10" width="10.28515625" style="2" customWidth="1"/>
    <col min="11" max="13" width="10.140625" style="2" customWidth="1"/>
    <col min="14" max="14" width="1.140625" style="2" customWidth="1"/>
    <col min="15" max="15" width="10.140625" style="2" customWidth="1"/>
    <col min="16" max="16" width="1.140625" style="2" customWidth="1"/>
    <col min="17" max="17" width="11.42578125" style="2"/>
    <col min="18" max="18" width="3" style="2" customWidth="1"/>
    <col min="19" max="19" width="3.28515625" style="2" customWidth="1"/>
    <col min="20" max="16384" width="11.42578125" style="2"/>
  </cols>
  <sheetData>
    <row r="1" spans="2:19" ht="6.75" customHeight="1" thickBot="1" x14ac:dyDescent="0.3"/>
    <row r="2" spans="2:19" x14ac:dyDescent="0.25">
      <c r="C2" s="41"/>
      <c r="D2" s="44"/>
      <c r="E2" s="475" t="str">
        <f>+'Base de Datos'!AB2</f>
        <v>COMISIÓN FEDERAL DE ELECTRICIDAD</v>
      </c>
      <c r="F2" s="476"/>
      <c r="G2" s="476"/>
      <c r="H2" s="476"/>
      <c r="I2" s="476"/>
      <c r="J2" s="476"/>
      <c r="K2" s="476"/>
      <c r="L2" s="476"/>
      <c r="M2" s="476"/>
      <c r="N2" s="477"/>
      <c r="O2" s="47" t="s">
        <v>0</v>
      </c>
    </row>
    <row r="3" spans="2:19" x14ac:dyDescent="0.25">
      <c r="C3" s="42"/>
      <c r="D3" s="45"/>
      <c r="E3" s="478" t="str">
        <f>+'Base de Datos'!AB3</f>
        <v>COORDINACIÓN DE PROYECTOS DE ENERGÍAS LIMPIAS</v>
      </c>
      <c r="F3" s="479"/>
      <c r="G3" s="479"/>
      <c r="H3" s="479"/>
      <c r="I3" s="479"/>
      <c r="J3" s="479"/>
      <c r="K3" s="479"/>
      <c r="L3" s="479"/>
      <c r="M3" s="479"/>
      <c r="N3" s="480"/>
      <c r="O3" s="48">
        <v>3</v>
      </c>
    </row>
    <row r="4" spans="2:19" ht="14.25" thickBot="1" x14ac:dyDescent="0.3">
      <c r="C4" s="42"/>
      <c r="D4" s="45"/>
      <c r="E4" s="478" t="str">
        <f>+'Base de Datos'!AB4</f>
        <v>GERENCIA DE CONSTRUCCIÓN</v>
      </c>
      <c r="F4" s="479"/>
      <c r="G4" s="479"/>
      <c r="H4" s="479"/>
      <c r="I4" s="479"/>
      <c r="J4" s="479"/>
      <c r="K4" s="479"/>
      <c r="L4" s="479"/>
      <c r="M4" s="479"/>
      <c r="N4" s="480"/>
      <c r="O4" s="53">
        <f ca="1">TODAY()</f>
        <v>46321</v>
      </c>
    </row>
    <row r="5" spans="2:19" ht="16.5" thickBot="1" x14ac:dyDescent="0.3">
      <c r="C5" s="43"/>
      <c r="D5" s="46"/>
      <c r="E5" s="481" t="s">
        <v>1</v>
      </c>
      <c r="F5" s="482"/>
      <c r="G5" s="482"/>
      <c r="H5" s="482"/>
      <c r="I5" s="482"/>
      <c r="J5" s="482"/>
      <c r="K5" s="482"/>
      <c r="L5" s="482"/>
      <c r="M5" s="482"/>
      <c r="N5" s="482"/>
      <c r="O5" s="54"/>
    </row>
    <row r="6" spans="2:19" ht="6" customHeight="1" thickBot="1" x14ac:dyDescent="0.3"/>
    <row r="7" spans="2:19" ht="13.5" customHeight="1" x14ac:dyDescent="0.25">
      <c r="C7" s="110" t="s">
        <v>2</v>
      </c>
      <c r="D7" s="109" t="s">
        <v>3</v>
      </c>
      <c r="E7" s="109" t="s">
        <v>4</v>
      </c>
      <c r="F7" s="109" t="s">
        <v>5</v>
      </c>
      <c r="G7" s="108" t="s">
        <v>6</v>
      </c>
      <c r="H7" s="196" t="s">
        <v>7</v>
      </c>
      <c r="I7" s="106" t="s">
        <v>8</v>
      </c>
      <c r="J7" s="107" t="s">
        <v>9</v>
      </c>
      <c r="K7" s="500" t="s">
        <v>10</v>
      </c>
      <c r="L7" s="501"/>
      <c r="M7" s="502"/>
      <c r="O7" s="489" t="s">
        <v>11</v>
      </c>
    </row>
    <row r="8" spans="2:19" ht="14.25" customHeight="1" thickBot="1" x14ac:dyDescent="0.3">
      <c r="C8" s="114"/>
      <c r="D8" s="115"/>
      <c r="E8" s="115"/>
      <c r="F8" s="115"/>
      <c r="G8" s="116"/>
      <c r="H8" s="117"/>
      <c r="I8" s="118"/>
      <c r="J8" s="119"/>
      <c r="K8" s="50" t="s">
        <v>12</v>
      </c>
      <c r="L8" s="51" t="s">
        <v>13</v>
      </c>
      <c r="M8" s="52" t="s">
        <v>14</v>
      </c>
      <c r="O8" s="490"/>
    </row>
    <row r="9" spans="2:19" ht="14.25" thickBot="1" x14ac:dyDescent="0.3">
      <c r="B9" s="40">
        <v>1</v>
      </c>
      <c r="C9" s="103" t="str">
        <f>+'Base de Datos'!C23</f>
        <v>CUBICO</v>
      </c>
      <c r="D9" s="90" t="str">
        <f>+'Base de Datos'!D23</f>
        <v>Energías Renovables de Tamaulipas (Altamira)</v>
      </c>
      <c r="E9" s="90" t="str">
        <f>+'Base de Datos'!E23</f>
        <v>Altamira</v>
      </c>
      <c r="F9" s="90" t="str">
        <f>+'Base de Datos'!F23</f>
        <v>Tamaulipas</v>
      </c>
      <c r="G9" s="91" t="str">
        <f>+'Base de Datos'!G23</f>
        <v>Fotovoltaico</v>
      </c>
      <c r="H9" s="83" t="str">
        <f>+'Base de Datos'!H23</f>
        <v>78 MW + 30% BESS</v>
      </c>
      <c r="I9" s="84">
        <f>+'Base de Datos'!I23</f>
        <v>46388</v>
      </c>
      <c r="J9" s="85">
        <f>+'Base de Datos'!J23</f>
        <v>46935</v>
      </c>
      <c r="K9" s="55">
        <f>+'Base de Datos'!AD23</f>
        <v>0.94000000000000017</v>
      </c>
      <c r="L9" s="56">
        <f>+'Base de Datos'!AE23</f>
        <v>0.93000000000000016</v>
      </c>
      <c r="M9" s="57">
        <f>+'Base de Datos'!AG23</f>
        <v>0.93800000000000028</v>
      </c>
      <c r="O9" s="112" t="str">
        <f>IF(K9&gt;=85%,"A",IF(K9&gt;=76%,"B","C"))</f>
        <v>A</v>
      </c>
      <c r="Q9" s="1"/>
      <c r="R9" s="12" t="s">
        <v>15</v>
      </c>
      <c r="S9" s="12">
        <f>COUNTIFS($O$9:$O$48,R9)</f>
        <v>6</v>
      </c>
    </row>
    <row r="10" spans="2:19" ht="14.25" thickBot="1" x14ac:dyDescent="0.3">
      <c r="B10" s="40">
        <f t="shared" ref="B10:B48" si="0">1+B9</f>
        <v>2</v>
      </c>
      <c r="C10" s="104" t="str">
        <f>+'Base de Datos'!C34</f>
        <v>FISTERRA</v>
      </c>
      <c r="D10" s="92" t="str">
        <f>+'Base de Datos'!D34</f>
        <v>San Simón Solar</v>
      </c>
      <c r="E10" s="92" t="str">
        <f>+'Base de Datos'!E34</f>
        <v>San Quintin</v>
      </c>
      <c r="F10" s="92" t="str">
        <f>+'Base de Datos'!F34</f>
        <v>Baja California</v>
      </c>
      <c r="G10" s="93" t="str">
        <f>+'Base de Datos'!G34</f>
        <v>Fotovoltaico</v>
      </c>
      <c r="H10" s="86" t="str">
        <f>+'Base de Datos'!H34</f>
        <v>80 MW + 30% BESS</v>
      </c>
      <c r="I10" s="87">
        <f>+'Base de Datos'!I34</f>
        <v>46341</v>
      </c>
      <c r="J10" s="88">
        <f>+'Base de Datos'!J34</f>
        <v>47118</v>
      </c>
      <c r="K10" s="58">
        <f>+'Base de Datos'!AD34</f>
        <v>0.94000000000000006</v>
      </c>
      <c r="L10" s="59">
        <f>+'Base de Datos'!AE34</f>
        <v>0.93</v>
      </c>
      <c r="M10" s="60">
        <f>+'Base de Datos'!AG34</f>
        <v>0.93800000000000017</v>
      </c>
      <c r="O10" s="112" t="str">
        <f t="shared" ref="O10:O48" si="1">IF(K10&gt;=85%,"A",IF(K10&gt;=76%,"B","C"))</f>
        <v>A</v>
      </c>
      <c r="R10" s="12" t="s">
        <v>16</v>
      </c>
      <c r="S10" s="12">
        <f>COUNTIFS($O$9:$O$48,R10)</f>
        <v>13</v>
      </c>
    </row>
    <row r="11" spans="2:19" ht="14.25" thickBot="1" x14ac:dyDescent="0.3">
      <c r="B11" s="40">
        <f t="shared" si="0"/>
        <v>3</v>
      </c>
      <c r="C11" s="104" t="str">
        <f>+'Base de Datos'!C28</f>
        <v>ELAWAN WIND</v>
      </c>
      <c r="D11" s="92" t="str">
        <f>+'Base de Datos'!D28</f>
        <v>San Pedro Solar</v>
      </c>
      <c r="E11" s="92" t="str">
        <f>+'Base de Datos'!E28</f>
        <v>Huimilpan y Corregidora</v>
      </c>
      <c r="F11" s="92" t="str">
        <f>+'Base de Datos'!F28</f>
        <v>Querétaro</v>
      </c>
      <c r="G11" s="93" t="str">
        <f>+'Base de Datos'!G28</f>
        <v>Fotovoltaico</v>
      </c>
      <c r="H11" s="86" t="str">
        <f>+'Base de Datos'!H28</f>
        <v>98.2 MW + 30% BESS</v>
      </c>
      <c r="I11" s="87">
        <f>+'Base de Datos'!I28</f>
        <v>46447</v>
      </c>
      <c r="J11" s="88">
        <f>+'Base de Datos'!J28</f>
        <v>46843</v>
      </c>
      <c r="K11" s="58">
        <f>+'Base de Datos'!AD28</f>
        <v>0.91500000000000015</v>
      </c>
      <c r="L11" s="59">
        <f>+'Base de Datos'!AE28</f>
        <v>0.86000000000000021</v>
      </c>
      <c r="M11" s="60">
        <f>+'Base de Datos'!AG28</f>
        <v>0.90400000000000025</v>
      </c>
      <c r="O11" s="112" t="str">
        <f t="shared" si="1"/>
        <v>A</v>
      </c>
      <c r="R11" s="12" t="s">
        <v>17</v>
      </c>
      <c r="S11" s="12">
        <f>COUNTIFS($O$9:$O$48,R11)</f>
        <v>21</v>
      </c>
    </row>
    <row r="12" spans="2:19" ht="14.25" thickBot="1" x14ac:dyDescent="0.3">
      <c r="B12" s="40">
        <f t="shared" si="0"/>
        <v>4</v>
      </c>
      <c r="C12" s="104" t="str">
        <f>+'Base de Datos'!C42</f>
        <v>SELKA</v>
      </c>
      <c r="D12" s="92" t="str">
        <f>+'Base de Datos'!D42</f>
        <v>Selka Power Plant 1</v>
      </c>
      <c r="E12" s="92" t="str">
        <f>+'Base de Datos'!E42</f>
        <v>Romita</v>
      </c>
      <c r="F12" s="92" t="str">
        <f>+'Base de Datos'!F42</f>
        <v>Guanajuato</v>
      </c>
      <c r="G12" s="93" t="str">
        <f>+'Base de Datos'!G42</f>
        <v>Fotovoltaico</v>
      </c>
      <c r="H12" s="86" t="str">
        <f>+'Base de Datos'!H42</f>
        <v>141.4 MW + 30% BESS</v>
      </c>
      <c r="I12" s="87">
        <f>+'Base de Datos'!I42</f>
        <v>46357</v>
      </c>
      <c r="J12" s="88">
        <f>+'Base de Datos'!J42</f>
        <v>46905</v>
      </c>
      <c r="K12" s="58">
        <f>+'Base de Datos'!AD42</f>
        <v>0.86500000000000021</v>
      </c>
      <c r="L12" s="59">
        <f>+'Base de Datos'!AE42</f>
        <v>0.37</v>
      </c>
      <c r="M12" s="60">
        <f>+'Base de Datos'!AG42</f>
        <v>0.76600000000000013</v>
      </c>
      <c r="O12" s="112" t="str">
        <f t="shared" si="1"/>
        <v>A</v>
      </c>
    </row>
    <row r="13" spans="2:19" ht="14.25" thickBot="1" x14ac:dyDescent="0.3">
      <c r="B13" s="40">
        <f t="shared" si="0"/>
        <v>5</v>
      </c>
      <c r="C13" s="104" t="str">
        <f>+'Base de Datos'!C39</f>
        <v>POLARIS</v>
      </c>
      <c r="D13" s="92" t="str">
        <f>+'Base de Datos'!D39</f>
        <v>Don Humberto</v>
      </c>
      <c r="E13" s="92" t="str">
        <f>+'Base de Datos'!E39</f>
        <v>Culiacán</v>
      </c>
      <c r="F13" s="92" t="str">
        <f>+'Base de Datos'!F39</f>
        <v xml:space="preserve">Sinaloa </v>
      </c>
      <c r="G13" s="93" t="str">
        <f>+'Base de Datos'!G39</f>
        <v>Fotovoltaico</v>
      </c>
      <c r="H13" s="86" t="str">
        <f>+'Base de Datos'!H39</f>
        <v>19.2 MW + 30% BESS</v>
      </c>
      <c r="I13" s="87">
        <f>+'Base de Datos'!I39</f>
        <v>46327</v>
      </c>
      <c r="J13" s="88">
        <f>+'Base de Datos'!J39</f>
        <v>46844</v>
      </c>
      <c r="K13" s="58">
        <f>+'Base de Datos'!AD39</f>
        <v>0.86000000000000021</v>
      </c>
      <c r="L13" s="59">
        <f>+'Base de Datos'!AE39</f>
        <v>0.77000000000000013</v>
      </c>
      <c r="M13" s="60">
        <f>+'Base de Datos'!AG39</f>
        <v>0.84200000000000019</v>
      </c>
      <c r="O13" s="112" t="str">
        <f t="shared" si="1"/>
        <v>A</v>
      </c>
    </row>
    <row r="14" spans="2:19" ht="14.25" thickBot="1" x14ac:dyDescent="0.3">
      <c r="B14" s="40">
        <f t="shared" si="0"/>
        <v>6</v>
      </c>
      <c r="C14" s="104" t="str">
        <f>+'Base de Datos'!C47</f>
        <v>THERMION</v>
      </c>
      <c r="D14" s="92" t="str">
        <f>+'Base de Datos'!D47</f>
        <v>Los Molinos</v>
      </c>
      <c r="E14" s="92" t="str">
        <f>+'Base de Datos'!E47</f>
        <v>Matamoros</v>
      </c>
      <c r="F14" s="92" t="str">
        <f>+'Base de Datos'!F47</f>
        <v>Tamaulipas</v>
      </c>
      <c r="G14" s="93" t="str">
        <f>+'Base de Datos'!G47</f>
        <v>Eólico</v>
      </c>
      <c r="H14" s="86" t="str">
        <f>+'Base de Datos'!H47</f>
        <v>171 MW + 30% BESS</v>
      </c>
      <c r="I14" s="87">
        <f>+'Base de Datos'!I47</f>
        <v>46371</v>
      </c>
      <c r="J14" s="88">
        <f>+'Base de Datos'!J47</f>
        <v>47088</v>
      </c>
      <c r="K14" s="58">
        <f>+'Base de Datos'!AD47</f>
        <v>0.8550000000000002</v>
      </c>
      <c r="L14" s="59">
        <f>+'Base de Datos'!AE47</f>
        <v>0.8550000000000002</v>
      </c>
      <c r="M14" s="60">
        <f>+'Base de Datos'!AG47</f>
        <v>0.8550000000000002</v>
      </c>
      <c r="O14" s="112" t="str">
        <f t="shared" si="1"/>
        <v>A</v>
      </c>
    </row>
    <row r="15" spans="2:19" ht="14.25" thickBot="1" x14ac:dyDescent="0.3">
      <c r="B15" s="40">
        <f t="shared" si="0"/>
        <v>7</v>
      </c>
      <c r="C15" s="104" t="str">
        <f>+'Base de Datos'!C14</f>
        <v>ALTEN</v>
      </c>
      <c r="D15" s="92" t="str">
        <f>+'Base de Datos'!D14</f>
        <v>Global Solar 3 Campeche</v>
      </c>
      <c r="E15" s="92" t="str">
        <f>+'Base de Datos'!E14</f>
        <v>El Carmen</v>
      </c>
      <c r="F15" s="92" t="str">
        <f>+'Base de Datos'!F14</f>
        <v>Campeche</v>
      </c>
      <c r="G15" s="93" t="str">
        <f>+'Base de Datos'!G14</f>
        <v>Fotovoltaico</v>
      </c>
      <c r="H15" s="86" t="str">
        <f>+'Base de Datos'!H14</f>
        <v>125 MW + 30.00% BESS</v>
      </c>
      <c r="I15" s="87">
        <f>+'Base de Datos'!I14</f>
        <v>46388</v>
      </c>
      <c r="J15" s="88">
        <f>+'Base de Datos'!J14</f>
        <v>46935</v>
      </c>
      <c r="K15" s="58">
        <f>+'Base de Datos'!AD14</f>
        <v>0.8450000000000002</v>
      </c>
      <c r="L15" s="59">
        <f>+'Base de Datos'!AE14</f>
        <v>0.77000000000000024</v>
      </c>
      <c r="M15" s="60">
        <f>+'Base de Datos'!AG14</f>
        <v>0.83000000000000018</v>
      </c>
      <c r="O15" s="112" t="str">
        <f t="shared" si="1"/>
        <v>B</v>
      </c>
    </row>
    <row r="16" spans="2:19" ht="14.25" thickBot="1" x14ac:dyDescent="0.3">
      <c r="B16" s="40">
        <f t="shared" si="0"/>
        <v>8</v>
      </c>
      <c r="C16" s="104" t="str">
        <f>+'Base de Datos'!C17</f>
        <v>ATLAS</v>
      </c>
      <c r="D16" s="92" t="str">
        <f>+'Base de Datos'!D17</f>
        <v>Concepción Mendizábal M. - Fase I</v>
      </c>
      <c r="E16" s="92" t="str">
        <f>+'Base de Datos'!E17</f>
        <v>Nava</v>
      </c>
      <c r="F16" s="92" t="str">
        <f>+'Base de Datos'!F17</f>
        <v>Coahuila</v>
      </c>
      <c r="G16" s="93" t="str">
        <f>+'Base de Datos'!G17</f>
        <v>Fotovoltaico</v>
      </c>
      <c r="H16" s="86" t="str">
        <f>+'Base de Datos'!H17</f>
        <v>339 MW + 30.00% BESS</v>
      </c>
      <c r="I16" s="87">
        <f>+'Base de Datos'!I17</f>
        <v>46478</v>
      </c>
      <c r="J16" s="88">
        <f>+'Base de Datos'!J17</f>
        <v>47209</v>
      </c>
      <c r="K16" s="58">
        <f>+'Base de Datos'!AD17</f>
        <v>0.83750000000000013</v>
      </c>
      <c r="L16" s="59">
        <f>+'Base de Datos'!AE17</f>
        <v>0.83750000000000013</v>
      </c>
      <c r="M16" s="60">
        <f>+'Base de Datos'!AG17</f>
        <v>0.83750000000000013</v>
      </c>
      <c r="O16" s="112" t="str">
        <f t="shared" si="1"/>
        <v>B</v>
      </c>
    </row>
    <row r="17" spans="2:15" ht="14.25" thickBot="1" x14ac:dyDescent="0.3">
      <c r="B17" s="40">
        <f t="shared" si="0"/>
        <v>9</v>
      </c>
      <c r="C17" s="104" t="str">
        <f>+'Base de Datos'!C18</f>
        <v>ATLAS</v>
      </c>
      <c r="D17" s="92" t="str">
        <f>+'Base de Datos'!D18</f>
        <v>Concepción Mendizábal M. - Fase II</v>
      </c>
      <c r="E17" s="92" t="str">
        <f>+'Base de Datos'!E18</f>
        <v>Nava</v>
      </c>
      <c r="F17" s="92" t="str">
        <f>+'Base de Datos'!F18</f>
        <v>Coahuila</v>
      </c>
      <c r="G17" s="93" t="str">
        <f>+'Base de Datos'!G18</f>
        <v>Fotovoltaico</v>
      </c>
      <c r="H17" s="86" t="str">
        <f>+'Base de Datos'!H18</f>
        <v>180 MW + 30.00% BESS</v>
      </c>
      <c r="I17" s="87">
        <f>+'Base de Datos'!I18</f>
        <v>46478</v>
      </c>
      <c r="J17" s="88">
        <f>+'Base de Datos'!J18</f>
        <v>47209</v>
      </c>
      <c r="K17" s="58">
        <f>+'Base de Datos'!AD18</f>
        <v>0.83750000000000013</v>
      </c>
      <c r="L17" s="59">
        <f>+'Base de Datos'!AE18</f>
        <v>0.83750000000000013</v>
      </c>
      <c r="M17" s="60">
        <f>+'Base de Datos'!AG18</f>
        <v>0.83750000000000013</v>
      </c>
      <c r="O17" s="112" t="str">
        <f t="shared" si="1"/>
        <v>B</v>
      </c>
    </row>
    <row r="18" spans="2:15" ht="14.25" thickBot="1" x14ac:dyDescent="0.3">
      <c r="B18" s="40">
        <f t="shared" si="0"/>
        <v>10</v>
      </c>
      <c r="C18" s="104" t="str">
        <f>+'Base de Datos'!C32</f>
        <v>FISTERRA</v>
      </c>
      <c r="D18" s="92" t="str">
        <f>+'Base de Datos'!D32</f>
        <v>Haab Kiin</v>
      </c>
      <c r="E18" s="92" t="str">
        <f>+'Base de Datos'!E32</f>
        <v>Úman</v>
      </c>
      <c r="F18" s="92" t="str">
        <f>+'Base de Datos'!F32</f>
        <v>Yucatán</v>
      </c>
      <c r="G18" s="93" t="str">
        <f>+'Base de Datos'!G32</f>
        <v>Fotovoltaico</v>
      </c>
      <c r="H18" s="86" t="str">
        <f>+'Base de Datos'!H32</f>
        <v>123.2 MW + 30% BESS</v>
      </c>
      <c r="I18" s="87">
        <f>+'Base de Datos'!I32</f>
        <v>46356</v>
      </c>
      <c r="J18" s="88">
        <f>+'Base de Datos'!J32</f>
        <v>47208</v>
      </c>
      <c r="K18" s="58">
        <f>+'Base de Datos'!AD32</f>
        <v>0.83000000000000018</v>
      </c>
      <c r="L18" s="59">
        <f>+'Base de Datos'!AE32</f>
        <v>0.78500000000000025</v>
      </c>
      <c r="M18" s="60">
        <f>+'Base de Datos'!AG32</f>
        <v>0.82100000000000017</v>
      </c>
      <c r="O18" s="112" t="str">
        <f t="shared" si="1"/>
        <v>B</v>
      </c>
    </row>
    <row r="19" spans="2:15" ht="14.25" thickBot="1" x14ac:dyDescent="0.3">
      <c r="B19" s="40">
        <f t="shared" si="0"/>
        <v>11</v>
      </c>
      <c r="C19" s="104" t="str">
        <f>+'Base de Datos'!C45</f>
        <v>THERMION</v>
      </c>
      <c r="D19" s="94" t="str">
        <f>+'Base de Datos'!D45</f>
        <v>Delaro (*)</v>
      </c>
      <c r="E19" s="92" t="str">
        <f>+'Base de Datos'!E45</f>
        <v>Reynosa</v>
      </c>
      <c r="F19" s="92" t="str">
        <f>+'Base de Datos'!F45</f>
        <v>Tamaulipas</v>
      </c>
      <c r="G19" s="93" t="str">
        <f>+'Base de Datos'!G45</f>
        <v>Eólico</v>
      </c>
      <c r="H19" s="89" t="str">
        <f>+'Base de Datos'!H45</f>
        <v>117 MW + 30% BESS</v>
      </c>
      <c r="I19" s="87"/>
      <c r="J19" s="88"/>
      <c r="K19" s="58">
        <f>+'Base de Datos'!AD45</f>
        <v>0.83000000000000007</v>
      </c>
      <c r="L19" s="59">
        <f>+'Base de Datos'!AE45</f>
        <v>0.83000000000000007</v>
      </c>
      <c r="M19" s="60">
        <f>+'Base de Datos'!AG45</f>
        <v>0.83000000000000018</v>
      </c>
      <c r="O19" s="112" t="str">
        <f t="shared" si="1"/>
        <v>B</v>
      </c>
    </row>
    <row r="20" spans="2:15" ht="14.25" thickBot="1" x14ac:dyDescent="0.3">
      <c r="B20" s="40">
        <f t="shared" si="0"/>
        <v>12</v>
      </c>
      <c r="C20" s="104" t="str">
        <f>+'Base de Datos'!C19</f>
        <v>ATLAS</v>
      </c>
      <c r="D20" s="92" t="str">
        <f>+'Base de Datos'!D19</f>
        <v>Concepción Mendizábal M. - Fase III</v>
      </c>
      <c r="E20" s="92" t="str">
        <f>+'Base de Datos'!E19</f>
        <v>Nava</v>
      </c>
      <c r="F20" s="92" t="str">
        <f>+'Base de Datos'!F19</f>
        <v>Coahuila</v>
      </c>
      <c r="G20" s="93" t="str">
        <f>+'Base de Datos'!G19</f>
        <v>Fotovoltaico</v>
      </c>
      <c r="H20" s="86" t="str">
        <f>+'Base de Datos'!H19</f>
        <v>339 MW + 30.00% BESS</v>
      </c>
      <c r="I20" s="87">
        <f>+'Base de Datos'!I19</f>
        <v>46478</v>
      </c>
      <c r="J20" s="88">
        <f>+'Base de Datos'!J19</f>
        <v>47209</v>
      </c>
      <c r="K20" s="58">
        <f>+'Base de Datos'!AD19</f>
        <v>0.82750000000000012</v>
      </c>
      <c r="L20" s="59">
        <f>+'Base de Datos'!AE19</f>
        <v>0.82750000000000012</v>
      </c>
      <c r="M20" s="60">
        <f>+'Base de Datos'!AG19</f>
        <v>0.82750000000000012</v>
      </c>
      <c r="O20" s="112" t="str">
        <f t="shared" si="1"/>
        <v>B</v>
      </c>
    </row>
    <row r="21" spans="2:15" ht="14.25" thickBot="1" x14ac:dyDescent="0.3">
      <c r="B21" s="40">
        <f t="shared" si="0"/>
        <v>13</v>
      </c>
      <c r="C21" s="104" t="str">
        <f>+'Base de Datos'!C37</f>
        <v>GRUPO ZML</v>
      </c>
      <c r="D21" s="92" t="str">
        <f>+'Base de Datos'!D37</f>
        <v>Álvaro Obregón</v>
      </c>
      <c r="E21" s="92" t="str">
        <f>+'Base de Datos'!E37</f>
        <v>La Paz</v>
      </c>
      <c r="F21" s="92" t="str">
        <f>+'Base de Datos'!F37</f>
        <v>Baja California Sur</v>
      </c>
      <c r="G21" s="93" t="str">
        <f>+'Base de Datos'!G37</f>
        <v>Fotovoltaico</v>
      </c>
      <c r="H21" s="86" t="str">
        <f>+'Base de Datos'!H37</f>
        <v>90 MW + 100% BESS</v>
      </c>
      <c r="I21" s="87">
        <f>+'Base de Datos'!I37</f>
        <v>46507</v>
      </c>
      <c r="J21" s="88">
        <f>+'Base de Datos'!J37</f>
        <v>47054</v>
      </c>
      <c r="K21" s="58">
        <f>+'Base de Datos'!AD37</f>
        <v>0.82500000000000018</v>
      </c>
      <c r="L21" s="59">
        <f>+'Base de Datos'!AE37</f>
        <v>0.80500000000000016</v>
      </c>
      <c r="M21" s="60">
        <f>+'Base de Datos'!AG37</f>
        <v>0.82100000000000017</v>
      </c>
      <c r="O21" s="112" t="str">
        <f t="shared" si="1"/>
        <v>B</v>
      </c>
    </row>
    <row r="22" spans="2:15" ht="14.25" thickBot="1" x14ac:dyDescent="0.3">
      <c r="B22" s="40">
        <f t="shared" si="0"/>
        <v>14</v>
      </c>
      <c r="C22" s="104" t="str">
        <f>+'Base de Datos'!C50</f>
        <v>THERMION</v>
      </c>
      <c r="D22" s="92" t="str">
        <f>+'Base de Datos'!D50</f>
        <v>Sol de Sonora 70</v>
      </c>
      <c r="E22" s="92" t="str">
        <f>+'Base de Datos'!E50</f>
        <v>Hermosillo</v>
      </c>
      <c r="F22" s="92" t="str">
        <f>+'Base de Datos'!F50</f>
        <v>Sonora</v>
      </c>
      <c r="G22" s="93" t="str">
        <f>+'Base de Datos'!G50</f>
        <v>Fotovoltaico</v>
      </c>
      <c r="H22" s="86" t="str">
        <f>+'Base de Datos'!H50</f>
        <v>70 MW + 31.43% BESS</v>
      </c>
      <c r="I22" s="87">
        <f>+'Base de Datos'!I50</f>
        <v>46357</v>
      </c>
      <c r="J22" s="88">
        <f>+'Base de Datos'!J50</f>
        <v>46844</v>
      </c>
      <c r="K22" s="58">
        <f>+'Base de Datos'!AD50</f>
        <v>0.82000000000000017</v>
      </c>
      <c r="L22" s="59">
        <f>+'Base de Datos'!AE50</f>
        <v>0.82000000000000017</v>
      </c>
      <c r="M22" s="60">
        <f>+'Base de Datos'!AG50</f>
        <v>0.82000000000000017</v>
      </c>
      <c r="O22" s="112" t="str">
        <f t="shared" si="1"/>
        <v>B</v>
      </c>
    </row>
    <row r="23" spans="2:15" ht="14.25" thickBot="1" x14ac:dyDescent="0.3">
      <c r="B23" s="40">
        <f t="shared" si="0"/>
        <v>15</v>
      </c>
      <c r="C23" s="104" t="str">
        <f>+'Base de Datos'!C15</f>
        <v>ATLANTICA</v>
      </c>
      <c r="D23" s="92" t="str">
        <f>+'Base de Datos'!D15</f>
        <v>Dalia 3 (Castamay)</v>
      </c>
      <c r="E23" s="92" t="str">
        <f>+'Base de Datos'!E15</f>
        <v>Campeche</v>
      </c>
      <c r="F23" s="92" t="str">
        <f>+'Base de Datos'!F15</f>
        <v>Campeche</v>
      </c>
      <c r="G23" s="93" t="str">
        <f>+'Base de Datos'!G15</f>
        <v>Fotovoltaico</v>
      </c>
      <c r="H23" s="86" t="str">
        <f>+'Base de Datos'!H15</f>
        <v>100 MW + 30% BESS</v>
      </c>
      <c r="I23" s="87">
        <f>+'Base de Datos'!I15</f>
        <v>46447</v>
      </c>
      <c r="J23" s="88">
        <f>+'Base de Datos'!J15</f>
        <v>47118</v>
      </c>
      <c r="K23" s="58">
        <f>+'Base de Datos'!AD15</f>
        <v>0.81000000000000028</v>
      </c>
      <c r="L23" s="59">
        <f>+'Base de Datos'!AE15</f>
        <v>0.55500000000000005</v>
      </c>
      <c r="M23" s="60">
        <f>+'Base de Datos'!AG15</f>
        <v>0.75900000000000023</v>
      </c>
      <c r="O23" s="112" t="str">
        <f t="shared" si="1"/>
        <v>B</v>
      </c>
    </row>
    <row r="24" spans="2:15" ht="14.25" thickBot="1" x14ac:dyDescent="0.3">
      <c r="B24" s="40">
        <f t="shared" si="0"/>
        <v>16</v>
      </c>
      <c r="C24" s="104" t="str">
        <f>+'Base de Datos'!C11</f>
        <v>ACTIS</v>
      </c>
      <c r="D24" s="92" t="str">
        <f>+'Base de Datos'!D11</f>
        <v>PV Moquel Solar</v>
      </c>
      <c r="E24" s="92" t="str">
        <f>+'Base de Datos'!E11</f>
        <v>Champotón</v>
      </c>
      <c r="F24" s="92" t="str">
        <f>+'Base de Datos'!F11</f>
        <v>Campeche</v>
      </c>
      <c r="G24" s="93" t="str">
        <f>+'Base de Datos'!G11</f>
        <v>Fotovoltaico</v>
      </c>
      <c r="H24" s="86" t="str">
        <f>+'Base de Datos'!H11</f>
        <v>75 MW + 34.08% BESS</v>
      </c>
      <c r="I24" s="87">
        <f>+'Base de Datos'!I11</f>
        <v>46388</v>
      </c>
      <c r="J24" s="88">
        <f>+'Base de Datos'!J11</f>
        <v>46935</v>
      </c>
      <c r="K24" s="58">
        <f>+'Base de Datos'!AD11</f>
        <v>0.79000000000000026</v>
      </c>
      <c r="L24" s="59">
        <f>+'Base de Datos'!AE11</f>
        <v>0.67000000000000015</v>
      </c>
      <c r="M24" s="60">
        <f>+'Base de Datos'!AG11</f>
        <v>0.76600000000000024</v>
      </c>
      <c r="O24" s="112" t="str">
        <f t="shared" si="1"/>
        <v>B</v>
      </c>
    </row>
    <row r="25" spans="2:15" ht="14.25" thickBot="1" x14ac:dyDescent="0.3">
      <c r="B25" s="40">
        <f t="shared" si="0"/>
        <v>17</v>
      </c>
      <c r="C25" s="104" t="str">
        <f>+'Base de Datos'!C24</f>
        <v>CUBICO</v>
      </c>
      <c r="D25" s="92" t="str">
        <f>+'Base de Datos'!D24</f>
        <v xml:space="preserve">Energías Renovables De México Tres (Hecelchakan) </v>
      </c>
      <c r="E25" s="92" t="str">
        <f>+'Base de Datos'!E24</f>
        <v>Hecelchakán</v>
      </c>
      <c r="F25" s="92" t="str">
        <f>+'Base de Datos'!F24</f>
        <v>Campeche</v>
      </c>
      <c r="G25" s="93" t="str">
        <f>+'Base de Datos'!G24</f>
        <v>Fotovoltaico</v>
      </c>
      <c r="H25" s="86" t="str">
        <f>+'Base de Datos'!H24</f>
        <v>72 MW + 30% BESS</v>
      </c>
      <c r="I25" s="87">
        <f>+'Base de Datos'!I24</f>
        <v>46507</v>
      </c>
      <c r="J25" s="88">
        <f>+'Base de Datos'!J24</f>
        <v>47088</v>
      </c>
      <c r="K25" s="58">
        <f>+'Base de Datos'!AD24</f>
        <v>0.77000000000000024</v>
      </c>
      <c r="L25" s="59">
        <f>+'Base de Datos'!AE24</f>
        <v>0.77000000000000024</v>
      </c>
      <c r="M25" s="60">
        <f>+'Base de Datos'!AG24</f>
        <v>0.77000000000000024</v>
      </c>
      <c r="O25" s="112" t="str">
        <f t="shared" si="1"/>
        <v>B</v>
      </c>
    </row>
    <row r="26" spans="2:15" ht="14.25" thickBot="1" x14ac:dyDescent="0.3">
      <c r="B26" s="40">
        <f t="shared" si="0"/>
        <v>18</v>
      </c>
      <c r="C26" s="104" t="str">
        <f>+'Base de Datos'!C12</f>
        <v>ACTIS</v>
      </c>
      <c r="D26" s="92" t="str">
        <f>+'Base de Datos'!D12</f>
        <v>PV Sandom Solar</v>
      </c>
      <c r="E26" s="92" t="str">
        <f>+'Base de Datos'!E12</f>
        <v>Hopelchen</v>
      </c>
      <c r="F26" s="92" t="str">
        <f>+'Base de Datos'!F12</f>
        <v>Campeche</v>
      </c>
      <c r="G26" s="93" t="str">
        <f>+'Base de Datos'!G12</f>
        <v>Fotovoltaico</v>
      </c>
      <c r="H26" s="86" t="str">
        <f>+'Base de Datos'!H12</f>
        <v>54 MW + 34.08% BESS</v>
      </c>
      <c r="I26" s="87">
        <f>+'Base de Datos'!I12</f>
        <v>46478</v>
      </c>
      <c r="J26" s="88">
        <f>+'Base de Datos'!J12</f>
        <v>47057</v>
      </c>
      <c r="K26" s="58">
        <f>+'Base de Datos'!AD12</f>
        <v>0.77000000000000024</v>
      </c>
      <c r="L26" s="59">
        <f>+'Base de Datos'!AE12</f>
        <v>0.52500000000000002</v>
      </c>
      <c r="M26" s="60">
        <f>+'Base de Datos'!AG12</f>
        <v>0.7210000000000002</v>
      </c>
      <c r="O26" s="112" t="str">
        <f t="shared" si="1"/>
        <v>B</v>
      </c>
    </row>
    <row r="27" spans="2:15" ht="14.25" thickBot="1" x14ac:dyDescent="0.3">
      <c r="B27" s="40">
        <f t="shared" si="0"/>
        <v>19</v>
      </c>
      <c r="C27" s="104" t="str">
        <f>+'Base de Datos'!C33</f>
        <v>FISTERRA</v>
      </c>
      <c r="D27" s="92" t="str">
        <f>+'Base de Datos'!D33</f>
        <v>Planta Solar Cerro Colorado</v>
      </c>
      <c r="E27" s="92" t="str">
        <f>+'Base de Datos'!E33</f>
        <v>Sayula de Alemán</v>
      </c>
      <c r="F27" s="92" t="str">
        <f>+'Base de Datos'!F33</f>
        <v>Veracruz</v>
      </c>
      <c r="G27" s="93" t="str">
        <f>+'Base de Datos'!G33</f>
        <v>Fotovoltaico</v>
      </c>
      <c r="H27" s="86" t="str">
        <f>+'Base de Datos'!H33</f>
        <v>455.68 MW + 30% BESS</v>
      </c>
      <c r="I27" s="87">
        <f>+'Base de Datos'!I33</f>
        <v>46356</v>
      </c>
      <c r="J27" s="88">
        <f>+'Base de Datos'!J33</f>
        <v>47360</v>
      </c>
      <c r="K27" s="58">
        <f>+'Base de Datos'!AD33</f>
        <v>0.76000000000000023</v>
      </c>
      <c r="L27" s="59">
        <f>+'Base de Datos'!AE33</f>
        <v>0.5950000000000002</v>
      </c>
      <c r="M27" s="60">
        <f>+'Base de Datos'!AG33</f>
        <v>0.72700000000000031</v>
      </c>
      <c r="O27" s="112" t="str">
        <f t="shared" si="1"/>
        <v>B</v>
      </c>
    </row>
    <row r="28" spans="2:15" ht="14.25" thickBot="1" x14ac:dyDescent="0.3">
      <c r="B28" s="40">
        <f t="shared" si="0"/>
        <v>20</v>
      </c>
      <c r="C28" s="104" t="str">
        <f>+'Base de Datos'!C26</f>
        <v>CUBICO</v>
      </c>
      <c r="D28" s="92" t="str">
        <f>+'Base de Datos'!D26</f>
        <v>Energías Renovables Saas (Peto)</v>
      </c>
      <c r="E28" s="92" t="str">
        <f>+'Base de Datos'!E26</f>
        <v>Peto</v>
      </c>
      <c r="F28" s="92" t="str">
        <f>+'Base de Datos'!F26</f>
        <v>Yucatán</v>
      </c>
      <c r="G28" s="93" t="str">
        <f>+'Base de Datos'!G26</f>
        <v>Fotovoltaico</v>
      </c>
      <c r="H28" s="86" t="str">
        <f>+'Base de Datos'!H26</f>
        <v>72 MW + 30% BESS</v>
      </c>
      <c r="I28" s="87">
        <f>+'Base de Datos'!I26</f>
        <v>46507</v>
      </c>
      <c r="J28" s="88">
        <f>+'Base de Datos'!J26</f>
        <v>47058</v>
      </c>
      <c r="K28" s="58">
        <f>+'Base de Datos'!AD26</f>
        <v>0.7300000000000002</v>
      </c>
      <c r="L28" s="59">
        <f>+'Base de Datos'!AE26</f>
        <v>0.63000000000000012</v>
      </c>
      <c r="M28" s="60">
        <f>+'Base de Datos'!AG26</f>
        <v>0.71000000000000019</v>
      </c>
      <c r="O28" s="112" t="str">
        <f t="shared" si="1"/>
        <v>C</v>
      </c>
    </row>
    <row r="29" spans="2:15" ht="14.25" thickBot="1" x14ac:dyDescent="0.3">
      <c r="B29" s="40">
        <f t="shared" si="0"/>
        <v>21</v>
      </c>
      <c r="C29" s="104" t="str">
        <f>+'Base de Datos'!C27</f>
        <v>CUBICO</v>
      </c>
      <c r="D29" s="92" t="str">
        <f>+'Base de Datos'!D27</f>
        <v xml:space="preserve">Energías Renovables Kiin (Tekax) </v>
      </c>
      <c r="E29" s="92" t="str">
        <f>+'Base de Datos'!E27</f>
        <v>Tekax</v>
      </c>
      <c r="F29" s="92" t="str">
        <f>+'Base de Datos'!F27</f>
        <v>Yucatán</v>
      </c>
      <c r="G29" s="93" t="str">
        <f>+'Base de Datos'!G27</f>
        <v>Fotovoltaico</v>
      </c>
      <c r="H29" s="86" t="str">
        <f>+'Base de Datos'!H27</f>
        <v>56 MW + 30% BESS</v>
      </c>
      <c r="I29" s="87">
        <f>+'Base de Datos'!I27</f>
        <v>46507</v>
      </c>
      <c r="J29" s="88">
        <f>+'Base de Datos'!J27</f>
        <v>47058</v>
      </c>
      <c r="K29" s="58">
        <f>+'Base de Datos'!AD27</f>
        <v>0.71000000000000019</v>
      </c>
      <c r="L29" s="59">
        <f>+'Base de Datos'!AE27</f>
        <v>0.66000000000000014</v>
      </c>
      <c r="M29" s="60">
        <f>+'Base de Datos'!AG27</f>
        <v>0.70000000000000018</v>
      </c>
      <c r="O29" s="112" t="str">
        <f t="shared" si="1"/>
        <v>C</v>
      </c>
    </row>
    <row r="30" spans="2:15" ht="14.25" thickBot="1" x14ac:dyDescent="0.3">
      <c r="B30" s="40">
        <f t="shared" si="0"/>
        <v>22</v>
      </c>
      <c r="C30" s="104" t="str">
        <f>+'Base de Datos'!C36</f>
        <v>GRUPO PANTERA</v>
      </c>
      <c r="D30" s="92" t="str">
        <f>+'Base de Datos'!D36</f>
        <v>Solitario</v>
      </c>
      <c r="E30" s="92" t="str">
        <f>+'Base de Datos'!E36</f>
        <v>San Luis Río Colorado</v>
      </c>
      <c r="F30" s="92" t="str">
        <f>+'Base de Datos'!F36</f>
        <v>Sonora</v>
      </c>
      <c r="G30" s="93" t="str">
        <f>+'Base de Datos'!G36</f>
        <v>Fotovoltaico</v>
      </c>
      <c r="H30" s="86" t="str">
        <f>+'Base de Datos'!H36</f>
        <v>200 MW + 32.5% BESS</v>
      </c>
      <c r="I30" s="87">
        <f>+'Base de Datos'!I36</f>
        <v>46388</v>
      </c>
      <c r="J30" s="88">
        <f>+'Base de Datos'!J36</f>
        <v>47025</v>
      </c>
      <c r="K30" s="58">
        <f>+'Base de Datos'!AD36</f>
        <v>0.68</v>
      </c>
      <c r="L30" s="59">
        <f>+'Base de Datos'!AE36</f>
        <v>0.51500000000000001</v>
      </c>
      <c r="M30" s="60">
        <f>+'Base de Datos'!AG36</f>
        <v>0.64700000000000002</v>
      </c>
      <c r="O30" s="112" t="str">
        <f t="shared" si="1"/>
        <v>C</v>
      </c>
    </row>
    <row r="31" spans="2:15" ht="14.25" thickBot="1" x14ac:dyDescent="0.3">
      <c r="B31" s="40">
        <f t="shared" si="0"/>
        <v>23</v>
      </c>
      <c r="C31" s="104" t="str">
        <f>+'Base de Datos'!C41</f>
        <v>POLARIS</v>
      </c>
      <c r="D31" s="92" t="str">
        <f>+'Base de Datos'!D41</f>
        <v>Tres Hermanos</v>
      </c>
      <c r="E31" s="92" t="str">
        <f>+'Base de Datos'!E41</f>
        <v>Huamantla, Xaloztoc, Terrenate</v>
      </c>
      <c r="F31" s="92" t="str">
        <f>+'Base de Datos'!F41</f>
        <v>Tlaxcala</v>
      </c>
      <c r="G31" s="93" t="str">
        <f>+'Base de Datos'!G41</f>
        <v>Fotovoltaico</v>
      </c>
      <c r="H31" s="86" t="str">
        <f>+'Base de Datos'!H41</f>
        <v>75 MW + 30% BESS</v>
      </c>
      <c r="I31" s="87">
        <f>+'Base de Datos'!I41</f>
        <v>46447</v>
      </c>
      <c r="J31" s="88">
        <f>+'Base de Datos'!J41</f>
        <v>47088</v>
      </c>
      <c r="K31" s="58">
        <f>+'Base de Datos'!AD41</f>
        <v>0.65500000000000003</v>
      </c>
      <c r="L31" s="59">
        <f>+'Base de Datos'!AE41</f>
        <v>0.43</v>
      </c>
      <c r="M31" s="60">
        <f>+'Base de Datos'!AG41</f>
        <v>0.61</v>
      </c>
      <c r="O31" s="112" t="str">
        <f t="shared" si="1"/>
        <v>C</v>
      </c>
    </row>
    <row r="32" spans="2:15" ht="14.25" thickBot="1" x14ac:dyDescent="0.3">
      <c r="B32" s="40">
        <f t="shared" si="0"/>
        <v>24</v>
      </c>
      <c r="C32" s="104" t="str">
        <f>+'Base de Datos'!C40</f>
        <v>POLARIS</v>
      </c>
      <c r="D32" s="92" t="str">
        <f>+'Base de Datos'!D40</f>
        <v>Los Girasoles</v>
      </c>
      <c r="E32" s="92" t="str">
        <f>+'Base de Datos'!E40</f>
        <v>José María Morelos</v>
      </c>
      <c r="F32" s="92" t="str">
        <f>+'Base de Datos'!F40</f>
        <v xml:space="preserve">Quintana Roo </v>
      </c>
      <c r="G32" s="93" t="str">
        <f>+'Base de Datos'!G40</f>
        <v>Fotovoltaico</v>
      </c>
      <c r="H32" s="86" t="str">
        <f>+'Base de Datos'!H40</f>
        <v>110 MW + 30% BESS</v>
      </c>
      <c r="I32" s="87">
        <f>+'Base de Datos'!I40</f>
        <v>46447</v>
      </c>
      <c r="J32" s="88">
        <f>+'Base de Datos'!J40</f>
        <v>47085</v>
      </c>
      <c r="K32" s="58">
        <f>+'Base de Datos'!AD40</f>
        <v>0.64000000000000012</v>
      </c>
      <c r="L32" s="59">
        <f>+'Base de Datos'!AE40</f>
        <v>0.64000000000000012</v>
      </c>
      <c r="M32" s="60">
        <f>+'Base de Datos'!AG40</f>
        <v>0.64000000000000012</v>
      </c>
      <c r="O32" s="112" t="str">
        <f t="shared" si="1"/>
        <v>C</v>
      </c>
    </row>
    <row r="33" spans="2:15" ht="14.25" thickBot="1" x14ac:dyDescent="0.3">
      <c r="B33" s="40">
        <f t="shared" si="0"/>
        <v>25</v>
      </c>
      <c r="C33" s="104" t="str">
        <f>+'Base de Datos'!C16</f>
        <v>ATLANTICA</v>
      </c>
      <c r="D33" s="92" t="str">
        <f>+'Base de Datos'!D16</f>
        <v>Fresnillo (PV Atocha)</v>
      </c>
      <c r="E33" s="92" t="str">
        <f>+'Base de Datos'!E16</f>
        <v>Fresnillo</v>
      </c>
      <c r="F33" s="92" t="str">
        <f>+'Base de Datos'!F16</f>
        <v>Zacatecas</v>
      </c>
      <c r="G33" s="93" t="str">
        <f>+'Base de Datos'!G16</f>
        <v>Fotovoltaico</v>
      </c>
      <c r="H33" s="86" t="str">
        <f>+'Base de Datos'!H16</f>
        <v>100 MW + 30% BESS</v>
      </c>
      <c r="I33" s="87">
        <f>+'Base de Datos'!I16</f>
        <v>46447</v>
      </c>
      <c r="J33" s="88">
        <f>+'Base de Datos'!J16</f>
        <v>47118</v>
      </c>
      <c r="K33" s="58">
        <f>+'Base de Datos'!AD16</f>
        <v>0.625</v>
      </c>
      <c r="L33" s="59">
        <f>+'Base de Datos'!AE16</f>
        <v>0.40999999999999992</v>
      </c>
      <c r="M33" s="60">
        <f>+'Base de Datos'!AG16</f>
        <v>0.58199999999999996</v>
      </c>
      <c r="O33" s="112" t="str">
        <f t="shared" si="1"/>
        <v>C</v>
      </c>
    </row>
    <row r="34" spans="2:15" ht="14.25" thickBot="1" x14ac:dyDescent="0.3">
      <c r="B34" s="40">
        <f t="shared" si="0"/>
        <v>26</v>
      </c>
      <c r="C34" s="104" t="str">
        <f>+'Base de Datos'!C13</f>
        <v>ACTIS</v>
      </c>
      <c r="D34" s="92" t="str">
        <f>+'Base de Datos'!D13</f>
        <v>Viento de Bella Unión</v>
      </c>
      <c r="E34" s="92" t="str">
        <f>+'Base de Datos'!E13</f>
        <v>Arteaga</v>
      </c>
      <c r="F34" s="92" t="str">
        <f>+'Base de Datos'!F13</f>
        <v>Coahuila</v>
      </c>
      <c r="G34" s="93" t="str">
        <f>+'Base de Datos'!G13</f>
        <v>Fotovoltaico</v>
      </c>
      <c r="H34" s="86" t="str">
        <f>+'Base de Datos'!H13</f>
        <v>120 MW + 34.08% BESS</v>
      </c>
      <c r="I34" s="87">
        <f>+'Base de Datos'!I13</f>
        <v>46507</v>
      </c>
      <c r="J34" s="88">
        <f>+'Base de Datos'!J13</f>
        <v>47057</v>
      </c>
      <c r="K34" s="58">
        <f>+'Base de Datos'!AD13</f>
        <v>0.6</v>
      </c>
      <c r="L34" s="59">
        <f>+'Base de Datos'!AE13</f>
        <v>0.64500000000000002</v>
      </c>
      <c r="M34" s="60">
        <f>+'Base de Datos'!AG13</f>
        <v>0.60899999999999999</v>
      </c>
      <c r="O34" s="112" t="str">
        <f t="shared" si="1"/>
        <v>C</v>
      </c>
    </row>
    <row r="35" spans="2:15" ht="14.25" thickBot="1" x14ac:dyDescent="0.3">
      <c r="B35" s="40">
        <f t="shared" si="0"/>
        <v>27</v>
      </c>
      <c r="C35" s="104" t="str">
        <f>+'Base de Datos'!C49</f>
        <v>THERMION</v>
      </c>
      <c r="D35" s="92" t="str">
        <f>+'Base de Datos'!D49</f>
        <v>Santa Gertrudis</v>
      </c>
      <c r="E35" s="92" t="str">
        <f>+'Base de Datos'!E49</f>
        <v>Reynosa</v>
      </c>
      <c r="F35" s="92" t="str">
        <f>+'Base de Datos'!F49</f>
        <v>Tamaulipas</v>
      </c>
      <c r="G35" s="93" t="str">
        <f>+'Base de Datos'!G49</f>
        <v>Eólico</v>
      </c>
      <c r="H35" s="86" t="str">
        <f>+'Base de Datos'!H49</f>
        <v>503 MW + 30% BESS</v>
      </c>
      <c r="I35" s="87">
        <f>+'Base de Datos'!I49</f>
        <v>46376</v>
      </c>
      <c r="J35" s="88">
        <f>+'Base de Datos'!J49</f>
        <v>47088</v>
      </c>
      <c r="K35" s="58">
        <f>+'Base de Datos'!AD49</f>
        <v>0.55500000000000005</v>
      </c>
      <c r="L35" s="59">
        <f>+'Base de Datos'!AE49</f>
        <v>0.27500000000000002</v>
      </c>
      <c r="M35" s="60">
        <f>+'Base de Datos'!AG49</f>
        <v>0.49900000000000005</v>
      </c>
      <c r="O35" s="112" t="str">
        <f t="shared" si="1"/>
        <v>C</v>
      </c>
    </row>
    <row r="36" spans="2:15" ht="14.25" thickBot="1" x14ac:dyDescent="0.3">
      <c r="B36" s="40">
        <f t="shared" si="0"/>
        <v>28</v>
      </c>
      <c r="C36" s="104" t="str">
        <f>+'Base de Datos'!C35</f>
        <v>GRUPO PANTERA</v>
      </c>
      <c r="D36" s="92" t="str">
        <f>+'Base de Datos'!D35</f>
        <v>La Noria</v>
      </c>
      <c r="E36" s="92" t="str">
        <f>+'Base de Datos'!E35</f>
        <v>Villa Unión</v>
      </c>
      <c r="F36" s="92" t="str">
        <f>+'Base de Datos'!F35</f>
        <v>Coahuila</v>
      </c>
      <c r="G36" s="93" t="str">
        <f>+'Base de Datos'!G35</f>
        <v>Eólico</v>
      </c>
      <c r="H36" s="86" t="str">
        <f>+'Base de Datos'!H35</f>
        <v>301.5 MW + 30% BESS</v>
      </c>
      <c r="I36" s="87">
        <f>+'Base de Datos'!I35</f>
        <v>46478</v>
      </c>
      <c r="J36" s="88">
        <f>+'Base de Datos'!J35</f>
        <v>47209</v>
      </c>
      <c r="K36" s="58">
        <f>+'Base de Datos'!AD35</f>
        <v>0.54</v>
      </c>
      <c r="L36" s="59">
        <f>+'Base de Datos'!AE35</f>
        <v>0.44000000000000006</v>
      </c>
      <c r="M36" s="60">
        <f>+'Base de Datos'!AG35</f>
        <v>0.52</v>
      </c>
      <c r="O36" s="112" t="str">
        <f t="shared" si="1"/>
        <v>C</v>
      </c>
    </row>
    <row r="37" spans="2:15" ht="14.25" thickBot="1" x14ac:dyDescent="0.3">
      <c r="B37" s="40">
        <f t="shared" si="0"/>
        <v>29</v>
      </c>
      <c r="C37" s="104" t="str">
        <f>+'Base de Datos'!C22</f>
        <v>CSQB ENERGY</v>
      </c>
      <c r="D37" s="94" t="str">
        <f>+'Base de Datos'!D22</f>
        <v>Sunora (**)</v>
      </c>
      <c r="E37" s="92" t="str">
        <f>+'Base de Datos'!E22</f>
        <v>Hermosillo</v>
      </c>
      <c r="F37" s="92" t="str">
        <f>+'Base de Datos'!F22</f>
        <v>Sonora</v>
      </c>
      <c r="G37" s="93" t="str">
        <f>+'Base de Datos'!G22</f>
        <v>Fotovoltaico</v>
      </c>
      <c r="H37" s="89" t="str">
        <f>+'Base de Datos'!H22</f>
        <v>300 MW + 30% BESS</v>
      </c>
      <c r="I37" s="97">
        <f>+'Base de Datos'!I22</f>
        <v>46507</v>
      </c>
      <c r="J37" s="98">
        <f>+'Base de Datos'!J22</f>
        <v>47238</v>
      </c>
      <c r="K37" s="58">
        <f>+'Base de Datos'!AD22</f>
        <v>0.49000000000000005</v>
      </c>
      <c r="L37" s="59">
        <f>+'Base de Datos'!AE22</f>
        <v>0.53999999999999992</v>
      </c>
      <c r="M37" s="60">
        <f>+'Base de Datos'!AG22</f>
        <v>0.5</v>
      </c>
      <c r="O37" s="112" t="str">
        <f t="shared" si="1"/>
        <v>C</v>
      </c>
    </row>
    <row r="38" spans="2:15" ht="14.25" thickBot="1" x14ac:dyDescent="0.3">
      <c r="B38" s="40">
        <f t="shared" si="0"/>
        <v>30</v>
      </c>
      <c r="C38" s="104" t="str">
        <f>+'Base de Datos'!C48</f>
        <v>THERMION</v>
      </c>
      <c r="D38" s="92" t="str">
        <f>+'Base de Datos'!D48</f>
        <v>Montecristo</v>
      </c>
      <c r="E38" s="92" t="str">
        <f>+'Base de Datos'!E48</f>
        <v>Méndez</v>
      </c>
      <c r="F38" s="92" t="str">
        <f>+'Base de Datos'!F48</f>
        <v>Tamaulipas</v>
      </c>
      <c r="G38" s="93" t="str">
        <f>+'Base de Datos'!G48</f>
        <v>Eólico</v>
      </c>
      <c r="H38" s="86" t="str">
        <f>+'Base de Datos'!H48</f>
        <v>510 MW + 30% BESS</v>
      </c>
      <c r="I38" s="87">
        <f>+'Base de Datos'!I48</f>
        <v>46376</v>
      </c>
      <c r="J38" s="88">
        <f>+'Base de Datos'!J48</f>
        <v>47088</v>
      </c>
      <c r="K38" s="58">
        <f>+'Base de Datos'!AD48</f>
        <v>0.44000000000000006</v>
      </c>
      <c r="L38" s="59">
        <f>+'Base de Datos'!AE48</f>
        <v>0.25</v>
      </c>
      <c r="M38" s="60">
        <f>+'Base de Datos'!AG48</f>
        <v>0.40200000000000008</v>
      </c>
      <c r="O38" s="112" t="str">
        <f t="shared" si="1"/>
        <v>C</v>
      </c>
    </row>
    <row r="39" spans="2:15" ht="14.25" thickBot="1" x14ac:dyDescent="0.3">
      <c r="B39" s="40">
        <f t="shared" si="0"/>
        <v>31</v>
      </c>
      <c r="C39" s="104" t="str">
        <f>+'Base de Datos'!C38</f>
        <v>MIP FREEMAN</v>
      </c>
      <c r="D39" s="94" t="str">
        <f>+'Base de Datos'!D38</f>
        <v>CFV Las Garzas (**)</v>
      </c>
      <c r="E39" s="92" t="str">
        <f>+'Base de Datos'!E38</f>
        <v>Lerdo</v>
      </c>
      <c r="F39" s="92" t="str">
        <f>+'Base de Datos'!F38</f>
        <v>Durango</v>
      </c>
      <c r="G39" s="93" t="str">
        <f>+'Base de Datos'!G38</f>
        <v>Fotovoltaico</v>
      </c>
      <c r="H39" s="89" t="str">
        <f>+'Base de Datos'!H38</f>
        <v>270 MW + 30% BESS</v>
      </c>
      <c r="I39" s="97">
        <f>+'Base de Datos'!I38</f>
        <v>46477</v>
      </c>
      <c r="J39" s="98">
        <f>+'Base de Datos'!J38</f>
        <v>47302</v>
      </c>
      <c r="K39" s="58">
        <f>+'Base de Datos'!AD38</f>
        <v>0.44000000000000006</v>
      </c>
      <c r="L39" s="59">
        <f>+'Base de Datos'!AE38</f>
        <v>0.255</v>
      </c>
      <c r="M39" s="60">
        <f>+'Base de Datos'!AG38</f>
        <v>0.40300000000000008</v>
      </c>
      <c r="O39" s="112" t="str">
        <f t="shared" si="1"/>
        <v>C</v>
      </c>
    </row>
    <row r="40" spans="2:15" ht="14.25" thickBot="1" x14ac:dyDescent="0.3">
      <c r="B40" s="40">
        <f t="shared" si="0"/>
        <v>32</v>
      </c>
      <c r="C40" s="104" t="str">
        <f>+'Base de Datos'!C25</f>
        <v>CUBICO</v>
      </c>
      <c r="D40" s="92" t="str">
        <f>+'Base de Datos'!D25</f>
        <v>Energía Limpia el Mezquite</v>
      </c>
      <c r="E40" s="92" t="str">
        <f>+'Base de Datos'!E25</f>
        <v>Mina</v>
      </c>
      <c r="F40" s="92" t="str">
        <f>+'Base de Datos'!F25</f>
        <v>Nuevo León</v>
      </c>
      <c r="G40" s="93" t="str">
        <f>+'Base de Datos'!G25</f>
        <v>Eólico</v>
      </c>
      <c r="H40" s="86" t="str">
        <f>+'Base de Datos'!H25</f>
        <v>300 MW + 30% BESS</v>
      </c>
      <c r="I40" s="87">
        <f>+'Base de Datos'!I25</f>
        <v>46507</v>
      </c>
      <c r="J40" s="88">
        <f>+'Base de Datos'!J25</f>
        <v>47300</v>
      </c>
      <c r="K40" s="58">
        <f>+'Base de Datos'!AD25</f>
        <v>0.4</v>
      </c>
      <c r="L40" s="59">
        <f>+'Base de Datos'!AE25</f>
        <v>0.34</v>
      </c>
      <c r="M40" s="60">
        <f>+'Base de Datos'!AG25</f>
        <v>0.38800000000000007</v>
      </c>
      <c r="O40" s="112" t="str">
        <f t="shared" si="1"/>
        <v>C</v>
      </c>
    </row>
    <row r="41" spans="2:15" ht="14.25" thickBot="1" x14ac:dyDescent="0.3">
      <c r="B41" s="40">
        <f t="shared" si="0"/>
        <v>33</v>
      </c>
      <c r="C41" s="104" t="str">
        <f>+'Base de Datos'!C43</f>
        <v>SUKARNE - ENERGÍA FAMILIAR</v>
      </c>
      <c r="D41" s="92" t="str">
        <f>+'Base de Datos'!D43</f>
        <v>CFV Quasara</v>
      </c>
      <c r="E41" s="92" t="str">
        <f>+'Base de Datos'!E43</f>
        <v>Mexicali</v>
      </c>
      <c r="F41" s="92" t="str">
        <f>+'Base de Datos'!F43</f>
        <v>Baja California</v>
      </c>
      <c r="G41" s="93" t="str">
        <f>+'Base de Datos'!G43</f>
        <v>Fotovoltaico</v>
      </c>
      <c r="H41" s="86" t="str">
        <f>+'Base de Datos'!H43</f>
        <v>150 MW + 30% BESS</v>
      </c>
      <c r="I41" s="87">
        <f>+'Base de Datos'!I43</f>
        <v>46447</v>
      </c>
      <c r="J41" s="88">
        <f>+'Base de Datos'!J43</f>
        <v>47119</v>
      </c>
      <c r="K41" s="58">
        <f>+'Base de Datos'!AD43</f>
        <v>0.35500000000000009</v>
      </c>
      <c r="L41" s="59">
        <f>+'Base de Datos'!AE43</f>
        <v>0.35000000000000009</v>
      </c>
      <c r="M41" s="60">
        <f>+'Base de Datos'!AG43</f>
        <v>0.35400000000000009</v>
      </c>
      <c r="O41" s="112" t="str">
        <f t="shared" si="1"/>
        <v>C</v>
      </c>
    </row>
    <row r="42" spans="2:15" ht="14.25" thickBot="1" x14ac:dyDescent="0.3">
      <c r="B42" s="40">
        <f t="shared" si="0"/>
        <v>34</v>
      </c>
      <c r="C42" s="104" t="str">
        <f>+'Base de Datos'!C21</f>
        <v>CSQB ENERGY</v>
      </c>
      <c r="D42" s="94" t="str">
        <f>+'Base de Datos'!D21</f>
        <v>La Poza Solar (**)</v>
      </c>
      <c r="E42" s="92" t="str">
        <f>+'Base de Datos'!E21</f>
        <v>Hermosillo</v>
      </c>
      <c r="F42" s="92" t="str">
        <f>+'Base de Datos'!F21</f>
        <v>Sonora</v>
      </c>
      <c r="G42" s="93" t="str">
        <f>+'Base de Datos'!G21</f>
        <v>Fotovoltaico</v>
      </c>
      <c r="H42" s="89" t="str">
        <f>+'Base de Datos'!H21</f>
        <v>300 MW + 30% BESS</v>
      </c>
      <c r="I42" s="97">
        <f>+'Base de Datos'!I21</f>
        <v>46507</v>
      </c>
      <c r="J42" s="98">
        <f>+'Base de Datos'!J21</f>
        <v>47238</v>
      </c>
      <c r="K42" s="58">
        <f>+'Base de Datos'!AD21</f>
        <v>0.35000000000000003</v>
      </c>
      <c r="L42" s="59">
        <f>+'Base de Datos'!AE21</f>
        <v>0.35000000000000003</v>
      </c>
      <c r="M42" s="60">
        <f>+'Base de Datos'!AG21</f>
        <v>0.35000000000000003</v>
      </c>
      <c r="O42" s="112" t="str">
        <f t="shared" si="1"/>
        <v>C</v>
      </c>
    </row>
    <row r="43" spans="2:15" ht="14.25" thickBot="1" x14ac:dyDescent="0.3">
      <c r="B43" s="40">
        <f t="shared" si="0"/>
        <v>35</v>
      </c>
      <c r="C43" s="104" t="str">
        <f>+'Base de Datos'!C20</f>
        <v>CSQB ENERGY</v>
      </c>
      <c r="D43" s="94" t="str">
        <f>+'Base de Datos'!D20</f>
        <v>Cimarrón Solar (**)</v>
      </c>
      <c r="E43" s="92" t="str">
        <f>+'Base de Datos'!E20</f>
        <v>Hermosillo</v>
      </c>
      <c r="F43" s="92" t="str">
        <f>+'Base de Datos'!F20</f>
        <v>Sonora</v>
      </c>
      <c r="G43" s="93" t="str">
        <f>+'Base de Datos'!G20</f>
        <v>Fotovoltaico</v>
      </c>
      <c r="H43" s="89" t="str">
        <f>+'Base de Datos'!H20</f>
        <v>300 MW + 30% BESS</v>
      </c>
      <c r="I43" s="97">
        <f>+'Base de Datos'!I20</f>
        <v>46507</v>
      </c>
      <c r="J43" s="98">
        <f>+'Base de Datos'!J20</f>
        <v>47238</v>
      </c>
      <c r="K43" s="58">
        <f>+'Base de Datos'!AD20</f>
        <v>0.35000000000000003</v>
      </c>
      <c r="L43" s="59">
        <f>+'Base de Datos'!AE20</f>
        <v>0.40000000000000008</v>
      </c>
      <c r="M43" s="60">
        <f>+'Base de Datos'!AG20</f>
        <v>0.36000000000000004</v>
      </c>
      <c r="O43" s="112" t="str">
        <f t="shared" si="1"/>
        <v>C</v>
      </c>
    </row>
    <row r="44" spans="2:15" ht="14.25" thickBot="1" x14ac:dyDescent="0.3">
      <c r="B44" s="40">
        <f t="shared" si="0"/>
        <v>36</v>
      </c>
      <c r="C44" s="104" t="str">
        <f>+'Base de Datos'!C46</f>
        <v>THERMION</v>
      </c>
      <c r="D44" s="92" t="str">
        <f>+'Base de Datos'!D46</f>
        <v>El Guajillo</v>
      </c>
      <c r="E44" s="92" t="str">
        <f>+'Base de Datos'!E46</f>
        <v>Reynosa</v>
      </c>
      <c r="F44" s="92" t="str">
        <f>+'Base de Datos'!F46</f>
        <v>Tamaulipas</v>
      </c>
      <c r="G44" s="93" t="str">
        <f>+'Base de Datos'!G46</f>
        <v>Eólico</v>
      </c>
      <c r="H44" s="86" t="str">
        <f>+'Base de Datos'!H46</f>
        <v>468 MW + 30% BESS</v>
      </c>
      <c r="I44" s="87">
        <f>+'Base de Datos'!I46</f>
        <v>46376</v>
      </c>
      <c r="J44" s="88">
        <f>+'Base de Datos'!J46</f>
        <v>47088</v>
      </c>
      <c r="K44" s="58">
        <f>+'Base de Datos'!AD46</f>
        <v>0.33500000000000008</v>
      </c>
      <c r="L44" s="59">
        <f>+'Base de Datos'!AE46</f>
        <v>0.25</v>
      </c>
      <c r="M44" s="60">
        <f>+'Base de Datos'!AG46</f>
        <v>0.31800000000000006</v>
      </c>
      <c r="O44" s="112" t="str">
        <f t="shared" si="1"/>
        <v>C</v>
      </c>
    </row>
    <row r="45" spans="2:15" ht="14.25" thickBot="1" x14ac:dyDescent="0.3">
      <c r="B45" s="40">
        <f t="shared" si="0"/>
        <v>37</v>
      </c>
      <c r="C45" s="104" t="str">
        <f>+'Base de Datos'!C29</f>
        <v>ENERGÍA ASELCO</v>
      </c>
      <c r="D45" s="92" t="str">
        <f>+'Base de Datos'!D29</f>
        <v>El Palmar</v>
      </c>
      <c r="E45" s="92" t="str">
        <f>+'Base de Datos'!E29</f>
        <v>Los Cabos</v>
      </c>
      <c r="F45" s="92" t="str">
        <f>+'Base de Datos'!F29</f>
        <v>Baja California Sur</v>
      </c>
      <c r="G45" s="93" t="str">
        <f>+'Base de Datos'!G29</f>
        <v>Fotovoltaico</v>
      </c>
      <c r="H45" s="86" t="str">
        <f>+'Base de Datos'!H29</f>
        <v>120 MW + 30% BESS</v>
      </c>
      <c r="I45" s="87">
        <f>+'Base de Datos'!I29</f>
        <v>46452</v>
      </c>
      <c r="J45" s="88">
        <f>+'Base de Datos'!J29</f>
        <v>47238</v>
      </c>
      <c r="K45" s="58">
        <f>+'Base de Datos'!AD29</f>
        <v>0.30500000000000005</v>
      </c>
      <c r="L45" s="59">
        <f>+'Base de Datos'!AE29</f>
        <v>0.255</v>
      </c>
      <c r="M45" s="60">
        <f>+'Base de Datos'!AG29</f>
        <v>0.29500000000000004</v>
      </c>
      <c r="O45" s="112" t="str">
        <f t="shared" si="1"/>
        <v>C</v>
      </c>
    </row>
    <row r="46" spans="2:15" ht="14.25" thickBot="1" x14ac:dyDescent="0.3">
      <c r="B46" s="40">
        <f t="shared" si="0"/>
        <v>38</v>
      </c>
      <c r="C46" s="104" t="str">
        <f>+'Base de Datos'!C31</f>
        <v>ENERGÍA ASELCO</v>
      </c>
      <c r="D46" s="92" t="str">
        <f>+'Base de Datos'!D31</f>
        <v>Tikinmul</v>
      </c>
      <c r="E46" s="92" t="str">
        <f>+'Base de Datos'!E31</f>
        <v>Campeche</v>
      </c>
      <c r="F46" s="92" t="str">
        <f>+'Base de Datos'!F31</f>
        <v>Campeche</v>
      </c>
      <c r="G46" s="93" t="str">
        <f>+'Base de Datos'!G31</f>
        <v>Fotovoltaico</v>
      </c>
      <c r="H46" s="86" t="str">
        <f>+'Base de Datos'!H31</f>
        <v>170 MW + 30% BESS</v>
      </c>
      <c r="I46" s="87">
        <f>+'Base de Datos'!I31</f>
        <v>46461</v>
      </c>
      <c r="J46" s="88">
        <f>+'Base de Datos'!J31</f>
        <v>47238</v>
      </c>
      <c r="K46" s="58">
        <f>+'Base de Datos'!AD31</f>
        <v>0.30000000000000004</v>
      </c>
      <c r="L46" s="59">
        <f>+'Base de Datos'!AE31</f>
        <v>0.16000000000000003</v>
      </c>
      <c r="M46" s="60">
        <f>+'Base de Datos'!AG31</f>
        <v>0.27200000000000008</v>
      </c>
      <c r="O46" s="112" t="str">
        <f t="shared" si="1"/>
        <v>C</v>
      </c>
    </row>
    <row r="47" spans="2:15" ht="14.25" thickBot="1" x14ac:dyDescent="0.3">
      <c r="B47" s="40">
        <f t="shared" si="0"/>
        <v>39</v>
      </c>
      <c r="C47" s="104" t="str">
        <f>+'Base de Datos'!C30</f>
        <v>ENERGÍA ASELCO</v>
      </c>
      <c r="D47" s="92" t="str">
        <f>+'Base de Datos'!D30</f>
        <v>La Pasión</v>
      </c>
      <c r="E47" s="92" t="str">
        <f>+'Base de Datos'!E30</f>
        <v>La Paz</v>
      </c>
      <c r="F47" s="92" t="str">
        <f>+'Base de Datos'!F30</f>
        <v>Baja California Sur</v>
      </c>
      <c r="G47" s="93" t="str">
        <f>+'Base de Datos'!G30</f>
        <v>Fotovoltaico</v>
      </c>
      <c r="H47" s="86" t="str">
        <f>+'Base de Datos'!H30</f>
        <v>66 MW + 30% BESS</v>
      </c>
      <c r="I47" s="87">
        <f>+'Base de Datos'!I30</f>
        <v>46461</v>
      </c>
      <c r="J47" s="88">
        <f>+'Base de Datos'!J30</f>
        <v>47057</v>
      </c>
      <c r="K47" s="58">
        <f>+'Base de Datos'!AD30</f>
        <v>0.29500000000000004</v>
      </c>
      <c r="L47" s="59">
        <f>+'Base de Datos'!AE30</f>
        <v>0.28000000000000003</v>
      </c>
      <c r="M47" s="60">
        <f>+'Base de Datos'!AG30</f>
        <v>0.29200000000000004</v>
      </c>
      <c r="O47" s="112" t="str">
        <f t="shared" si="1"/>
        <v>C</v>
      </c>
    </row>
    <row r="48" spans="2:15" ht="14.25" thickBot="1" x14ac:dyDescent="0.3">
      <c r="B48" s="40">
        <f t="shared" si="0"/>
        <v>40</v>
      </c>
      <c r="C48" s="105" t="str">
        <f>+'Base de Datos'!C44</f>
        <v>ENHOL &amp; GEMEX (TERRALIA)</v>
      </c>
      <c r="D48" s="99" t="str">
        <f>+'Base de Datos'!D44</f>
        <v>Sierra Madre (El Chorro) (*)</v>
      </c>
      <c r="E48" s="95" t="str">
        <f>+'Base de Datos'!E44</f>
        <v>Casas y Güémez</v>
      </c>
      <c r="F48" s="95" t="str">
        <f>+'Base de Datos'!F44</f>
        <v>Tamaulipas</v>
      </c>
      <c r="G48" s="96" t="str">
        <f>+'Base de Datos'!G44</f>
        <v>Eólico</v>
      </c>
      <c r="H48" s="100" t="str">
        <f>+'Base de Datos'!H44</f>
        <v>580 MW + 30% BESS</v>
      </c>
      <c r="I48" s="101"/>
      <c r="J48" s="102"/>
      <c r="K48" s="61">
        <f>+'Base de Datos'!AD44</f>
        <v>0.03</v>
      </c>
      <c r="L48" s="62">
        <f>+'Base de Datos'!AE44</f>
        <v>0</v>
      </c>
      <c r="M48" s="63">
        <f>+'Base de Datos'!AG44</f>
        <v>2.4E-2</v>
      </c>
      <c r="O48" s="129" t="str">
        <f t="shared" si="1"/>
        <v>C</v>
      </c>
    </row>
    <row r="49" spans="2:13" ht="14.25" hidden="1" thickBot="1" x14ac:dyDescent="0.3">
      <c r="B49" s="40"/>
      <c r="C49" s="120"/>
      <c r="D49" s="121"/>
      <c r="E49" s="120"/>
      <c r="F49" s="122"/>
      <c r="G49" s="123"/>
      <c r="H49" s="124"/>
      <c r="I49" s="125"/>
      <c r="J49" s="125"/>
      <c r="K49" s="126"/>
      <c r="L49" s="127"/>
      <c r="M49" s="128"/>
    </row>
    <row r="50" spans="2:13" ht="14.25" thickBot="1" x14ac:dyDescent="0.3">
      <c r="B50" s="40"/>
      <c r="C50" s="2"/>
      <c r="F50" s="491" t="s">
        <v>18</v>
      </c>
      <c r="G50" s="492"/>
      <c r="H50" s="82"/>
      <c r="I50" s="82"/>
      <c r="J50" s="82"/>
      <c r="K50" s="77">
        <f>AVERAGE(K9:K48)</f>
        <v>0.64381250000000034</v>
      </c>
      <c r="L50" s="78">
        <f>AVERAGE(L9:L48)</f>
        <v>0.56043750000000014</v>
      </c>
      <c r="M50" s="76">
        <f>AVERAGE(M9:M48)</f>
        <v>0.62713750000000013</v>
      </c>
    </row>
    <row r="61" spans="2:13" x14ac:dyDescent="0.25">
      <c r="C61" s="2"/>
      <c r="E61" s="5"/>
      <c r="F61" s="5"/>
      <c r="G61" s="5"/>
      <c r="H61" s="5"/>
      <c r="I61" s="5"/>
      <c r="J61" s="5"/>
      <c r="K61" s="5"/>
      <c r="L61" s="5"/>
      <c r="M61" s="5"/>
    </row>
    <row r="62" spans="2:13" x14ac:dyDescent="0.25">
      <c r="C62" s="2"/>
    </row>
    <row r="70" spans="3:15" ht="14.25" thickBot="1" x14ac:dyDescent="0.3"/>
    <row r="71" spans="3:15" ht="14.25" thickBot="1" x14ac:dyDescent="0.3">
      <c r="C71" s="486" t="s">
        <v>19</v>
      </c>
      <c r="D71" s="487"/>
      <c r="E71" s="487"/>
      <c r="F71" s="487"/>
      <c r="G71" s="487"/>
      <c r="H71" s="487"/>
      <c r="I71" s="487"/>
      <c r="J71" s="487"/>
      <c r="K71" s="487"/>
      <c r="L71" s="487"/>
      <c r="M71" s="487"/>
      <c r="N71" s="487"/>
      <c r="O71" s="488"/>
    </row>
    <row r="72" spans="3:15" x14ac:dyDescent="0.25">
      <c r="C72" s="483" t="s">
        <v>20</v>
      </c>
      <c r="D72" s="69" t="s">
        <v>21</v>
      </c>
      <c r="E72" s="483" t="s">
        <v>22</v>
      </c>
      <c r="F72" s="74" t="s">
        <v>23</v>
      </c>
      <c r="G72" s="21"/>
      <c r="H72" s="21"/>
      <c r="I72" s="21"/>
      <c r="J72" s="21"/>
      <c r="K72" s="21"/>
      <c r="L72" s="20"/>
      <c r="M72" s="21"/>
      <c r="N72" s="21"/>
      <c r="O72" s="44"/>
    </row>
    <row r="73" spans="3:15" x14ac:dyDescent="0.25">
      <c r="C73" s="484"/>
      <c r="D73" s="70" t="s">
        <v>24</v>
      </c>
      <c r="E73" s="484"/>
      <c r="F73" s="75" t="s">
        <v>25</v>
      </c>
      <c r="L73" s="5"/>
      <c r="O73" s="45"/>
    </row>
    <row r="74" spans="3:15" ht="14.25" thickBot="1" x14ac:dyDescent="0.3">
      <c r="C74" s="485"/>
      <c r="D74" s="71" t="s">
        <v>26</v>
      </c>
      <c r="E74" s="484"/>
      <c r="F74" s="75" t="s">
        <v>27</v>
      </c>
      <c r="L74" s="5"/>
      <c r="O74" s="45"/>
    </row>
    <row r="75" spans="3:15" x14ac:dyDescent="0.25">
      <c r="C75" s="497" t="s">
        <v>28</v>
      </c>
      <c r="D75" s="69" t="s">
        <v>29</v>
      </c>
      <c r="E75" s="484"/>
      <c r="F75" s="75" t="s">
        <v>30</v>
      </c>
      <c r="G75" s="5"/>
      <c r="H75" s="5"/>
      <c r="I75" s="5"/>
      <c r="J75" s="5"/>
      <c r="L75" s="5"/>
      <c r="O75" s="45"/>
    </row>
    <row r="76" spans="3:15" x14ac:dyDescent="0.25">
      <c r="C76" s="498"/>
      <c r="D76" s="70" t="s">
        <v>31</v>
      </c>
      <c r="E76" s="484"/>
      <c r="F76" s="75" t="s">
        <v>32</v>
      </c>
      <c r="G76" s="5"/>
      <c r="H76" s="5"/>
      <c r="I76" s="5"/>
      <c r="J76" s="5"/>
      <c r="L76" s="5"/>
      <c r="O76" s="45"/>
    </row>
    <row r="77" spans="3:15" ht="14.25" thickBot="1" x14ac:dyDescent="0.3">
      <c r="C77" s="499"/>
      <c r="D77" s="71" t="s">
        <v>33</v>
      </c>
      <c r="E77" s="484"/>
      <c r="F77" s="75" t="s">
        <v>34</v>
      </c>
      <c r="G77" s="5"/>
      <c r="H77" s="5"/>
      <c r="I77" s="5"/>
      <c r="J77" s="5"/>
      <c r="L77" s="5"/>
      <c r="O77" s="45"/>
    </row>
    <row r="78" spans="3:15" x14ac:dyDescent="0.25">
      <c r="C78" s="79" t="s">
        <v>35</v>
      </c>
      <c r="D78" s="80" t="s">
        <v>36</v>
      </c>
      <c r="E78" s="484"/>
      <c r="F78" s="75" t="s">
        <v>37</v>
      </c>
      <c r="G78" s="5"/>
      <c r="H78" s="5"/>
      <c r="I78" s="5"/>
      <c r="J78" s="5"/>
      <c r="L78" s="5"/>
      <c r="O78" s="45"/>
    </row>
    <row r="79" spans="3:15" x14ac:dyDescent="0.25">
      <c r="C79" s="495" t="s">
        <v>38</v>
      </c>
      <c r="D79" s="493" t="s">
        <v>39</v>
      </c>
      <c r="E79" s="484"/>
      <c r="F79" s="72" t="s">
        <v>40</v>
      </c>
      <c r="G79" s="5"/>
      <c r="H79" s="5"/>
      <c r="I79" s="5"/>
      <c r="J79" s="5"/>
      <c r="L79" s="5"/>
      <c r="O79" s="45"/>
    </row>
    <row r="80" spans="3:15" x14ac:dyDescent="0.25">
      <c r="C80" s="495"/>
      <c r="D80" s="493"/>
      <c r="E80" s="484"/>
      <c r="F80" s="72" t="s">
        <v>41</v>
      </c>
      <c r="G80" s="5"/>
      <c r="H80" s="5"/>
      <c r="I80" s="5"/>
      <c r="J80" s="5"/>
      <c r="L80" s="5"/>
      <c r="O80" s="45"/>
    </row>
    <row r="81" spans="3:15" ht="14.25" thickBot="1" x14ac:dyDescent="0.3">
      <c r="C81" s="496"/>
      <c r="D81" s="494"/>
      <c r="E81" s="485"/>
      <c r="F81" s="73" t="s">
        <v>42</v>
      </c>
      <c r="G81" s="49"/>
      <c r="H81" s="49"/>
      <c r="I81" s="49"/>
      <c r="J81" s="49"/>
      <c r="K81" s="28"/>
      <c r="L81" s="49"/>
      <c r="M81" s="28"/>
      <c r="N81" s="28"/>
      <c r="O81" s="46"/>
    </row>
    <row r="82" spans="3:15" ht="6" customHeight="1" x14ac:dyDescent="0.25"/>
    <row r="84" spans="3:15" hidden="1" x14ac:dyDescent="0.25"/>
    <row r="85" spans="3:15" hidden="1" x14ac:dyDescent="0.25">
      <c r="K85" s="113">
        <v>1</v>
      </c>
      <c r="L85" s="113">
        <v>1</v>
      </c>
      <c r="M85" s="113">
        <v>1</v>
      </c>
    </row>
    <row r="86" spans="3:15" hidden="1" x14ac:dyDescent="0.25">
      <c r="K86" s="113">
        <v>0</v>
      </c>
      <c r="L86" s="113">
        <v>0</v>
      </c>
      <c r="M86" s="113">
        <v>0</v>
      </c>
    </row>
    <row r="87" spans="3:15" x14ac:dyDescent="0.25">
      <c r="C87" s="68"/>
      <c r="D87" s="39"/>
    </row>
    <row r="88" spans="3:15" x14ac:dyDescent="0.25">
      <c r="C88" s="68"/>
      <c r="D88" s="39"/>
    </row>
    <row r="90" spans="3:15" x14ac:dyDescent="0.25">
      <c r="C90" s="2"/>
    </row>
    <row r="91" spans="3:15" x14ac:dyDescent="0.25">
      <c r="C91" s="2"/>
    </row>
    <row r="92" spans="3:15" x14ac:dyDescent="0.25">
      <c r="C92" s="2"/>
    </row>
    <row r="93" spans="3:15" x14ac:dyDescent="0.25">
      <c r="C93" s="2"/>
    </row>
  </sheetData>
  <autoFilter ref="C8:M8" xr:uid="{7601AF97-A91F-4115-9A98-6C206A130AA0}">
    <sortState xmlns:xlrd2="http://schemas.microsoft.com/office/spreadsheetml/2017/richdata2" ref="C9:M48">
      <sortCondition descending="1" ref="K8"/>
    </sortState>
  </autoFilter>
  <sortState xmlns:xlrd2="http://schemas.microsoft.com/office/spreadsheetml/2017/richdata2" ref="C9:M48">
    <sortCondition descending="1" ref="K9:K48"/>
  </sortState>
  <mergeCells count="13">
    <mergeCell ref="E2:N2"/>
    <mergeCell ref="E3:N3"/>
    <mergeCell ref="E4:N4"/>
    <mergeCell ref="E5:N5"/>
    <mergeCell ref="E72:E81"/>
    <mergeCell ref="C71:O71"/>
    <mergeCell ref="O7:O8"/>
    <mergeCell ref="F50:G50"/>
    <mergeCell ref="D79:D81"/>
    <mergeCell ref="C79:C81"/>
    <mergeCell ref="C72:C74"/>
    <mergeCell ref="C75:C77"/>
    <mergeCell ref="K7:M7"/>
  </mergeCells>
  <conditionalFormatting sqref="C75">
    <cfRule type="iconSet" priority="7">
      <iconSet>
        <cfvo type="percent" val="0"/>
        <cfvo type="percent" val="80"/>
        <cfvo type="percent" val="90"/>
      </iconSet>
    </cfRule>
  </conditionalFormatting>
  <conditionalFormatting sqref="K1:M6 K8:M1048576 K7">
    <cfRule type="iconSet" priority="1">
      <iconSet>
        <cfvo type="percent" val="0"/>
        <cfvo type="percent" val="76"/>
        <cfvo type="percent" val="85"/>
      </iconSet>
    </cfRule>
  </conditionalFormatting>
  <conditionalFormatting sqref="O9:O48">
    <cfRule type="containsText" dxfId="8" priority="2" operator="containsText" text="B">
      <formula>NOT(ISERROR(SEARCH("B",O9)))</formula>
    </cfRule>
    <cfRule type="containsText" dxfId="7" priority="3" operator="containsText" text="A">
      <formula>NOT(ISERROR(SEARCH("A",O9)))</formula>
    </cfRule>
    <cfRule type="containsText" dxfId="6" priority="4" operator="containsText" text="C">
      <formula>NOT(ISERROR(SEARCH("C",O9)))</formula>
    </cfRule>
  </conditionalFormatting>
  <printOptions horizontalCentered="1"/>
  <pageMargins left="0.19685039370078741" right="0.19685039370078741" top="0.39370078740157483" bottom="0.39370078740157483" header="0" footer="0"/>
  <pageSetup scale="7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78040-8CFF-4743-8ED3-673E32DB7260}">
  <sheetPr>
    <tabColor rgb="FF0070C0"/>
    <pageSetUpPr fitToPage="1"/>
  </sheetPr>
  <dimension ref="B1:Z51"/>
  <sheetViews>
    <sheetView tabSelected="1" zoomScaleNormal="100" zoomScaleSheetLayoutView="80" workbookViewId="0">
      <selection activeCell="H27" sqref="H27"/>
    </sheetView>
  </sheetViews>
  <sheetFormatPr baseColWidth="10" defaultColWidth="11.42578125" defaultRowHeight="13.5" x14ac:dyDescent="0.25"/>
  <cols>
    <col min="1" max="1" width="3" style="2" customWidth="1"/>
    <col min="2" max="2" width="2.42578125" style="2" bestFit="1" customWidth="1"/>
    <col min="3" max="3" width="23.5703125" style="3" bestFit="1" customWidth="1"/>
    <col min="4" max="4" width="39.42578125" style="2" bestFit="1" customWidth="1"/>
    <col min="5" max="5" width="24.28515625" style="2" customWidth="1"/>
    <col min="6" max="6" width="14.5703125" style="2" bestFit="1" customWidth="1"/>
    <col min="7" max="7" width="10.28515625" style="2" bestFit="1" customWidth="1"/>
    <col min="8" max="8" width="18" style="2" customWidth="1"/>
    <col min="9" max="10" width="10.28515625" style="2" customWidth="1"/>
    <col min="11" max="11" width="11.5703125" style="2" bestFit="1" customWidth="1"/>
    <col min="12" max="15" width="12.7109375" style="2" bestFit="1" customWidth="1"/>
    <col min="16" max="16" width="8.140625" style="2" bestFit="1" customWidth="1"/>
    <col min="17" max="20" width="12.7109375" style="2" bestFit="1" customWidth="1"/>
    <col min="21" max="21" width="1.140625" style="2" customWidth="1"/>
    <col min="22" max="22" width="10.140625" style="2" customWidth="1"/>
    <col min="23" max="23" width="1.140625" style="2" customWidth="1"/>
    <col min="24" max="24" width="11.42578125" style="2"/>
    <col min="25" max="25" width="3" style="2" customWidth="1"/>
    <col min="26" max="26" width="3.28515625" style="2" customWidth="1"/>
    <col min="27" max="16384" width="11.42578125" style="2"/>
  </cols>
  <sheetData>
    <row r="1" spans="2:26" ht="6.75" customHeight="1" thickBot="1" x14ac:dyDescent="0.3"/>
    <row r="2" spans="2:26" x14ac:dyDescent="0.25">
      <c r="C2" s="41"/>
      <c r="D2" s="44"/>
      <c r="E2" s="475" t="str">
        <f>+'Base de Datos'!AB2</f>
        <v>COMISIÓN FEDERAL DE ELECTRICIDAD</v>
      </c>
      <c r="F2" s="476"/>
      <c r="G2" s="476"/>
      <c r="H2" s="476"/>
      <c r="I2" s="476"/>
      <c r="J2" s="476"/>
      <c r="K2" s="476"/>
      <c r="L2" s="476"/>
      <c r="M2" s="476"/>
      <c r="N2" s="476"/>
      <c r="O2" s="476"/>
      <c r="P2" s="476"/>
      <c r="Q2" s="476"/>
      <c r="R2" s="476"/>
      <c r="S2" s="476"/>
      <c r="T2" s="476"/>
      <c r="U2" s="548"/>
      <c r="V2" s="149" t="s">
        <v>0</v>
      </c>
    </row>
    <row r="3" spans="2:26" x14ac:dyDescent="0.25">
      <c r="C3" s="42"/>
      <c r="D3" s="45"/>
      <c r="E3" s="478" t="str">
        <f>+'Base de Datos'!AB3</f>
        <v>COORDINACIÓN DE PROYECTOS DE ENERGÍAS LIMPIAS</v>
      </c>
      <c r="F3" s="479"/>
      <c r="G3" s="479"/>
      <c r="H3" s="479"/>
      <c r="I3" s="479"/>
      <c r="J3" s="479"/>
      <c r="K3" s="479"/>
      <c r="L3" s="479"/>
      <c r="M3" s="479"/>
      <c r="N3" s="479"/>
      <c r="O3" s="479"/>
      <c r="P3" s="479"/>
      <c r="Q3" s="479"/>
      <c r="R3" s="479"/>
      <c r="S3" s="479"/>
      <c r="T3" s="479"/>
      <c r="U3" s="549"/>
      <c r="V3" s="150">
        <v>3</v>
      </c>
    </row>
    <row r="4" spans="2:26" ht="14.25" thickBot="1" x14ac:dyDescent="0.3">
      <c r="C4" s="42"/>
      <c r="D4" s="45"/>
      <c r="E4" s="550" t="str">
        <f>+'Base de Datos'!AB4</f>
        <v>GERENCIA DE CONSTRUCCIÓN</v>
      </c>
      <c r="F4" s="551"/>
      <c r="G4" s="551"/>
      <c r="H4" s="551"/>
      <c r="I4" s="551"/>
      <c r="J4" s="551"/>
      <c r="K4" s="551"/>
      <c r="L4" s="551"/>
      <c r="M4" s="551"/>
      <c r="N4" s="551"/>
      <c r="O4" s="551"/>
      <c r="P4" s="551"/>
      <c r="Q4" s="551"/>
      <c r="R4" s="551"/>
      <c r="S4" s="551"/>
      <c r="T4" s="551"/>
      <c r="U4" s="552"/>
      <c r="V4" s="151">
        <f ca="1">TODAY()</f>
        <v>46321</v>
      </c>
    </row>
    <row r="5" spans="2:26" ht="16.5" thickBot="1" x14ac:dyDescent="0.3">
      <c r="C5" s="43"/>
      <c r="D5" s="46"/>
      <c r="E5" s="481" t="s">
        <v>1</v>
      </c>
      <c r="F5" s="482"/>
      <c r="G5" s="482"/>
      <c r="H5" s="482"/>
      <c r="I5" s="482"/>
      <c r="J5" s="482"/>
      <c r="K5" s="482"/>
      <c r="L5" s="482"/>
      <c r="M5" s="482"/>
      <c r="N5" s="482"/>
      <c r="O5" s="482"/>
      <c r="P5" s="482"/>
      <c r="Q5" s="482"/>
      <c r="R5" s="482"/>
      <c r="S5" s="482"/>
      <c r="T5" s="482"/>
      <c r="U5" s="553"/>
      <c r="V5" s="54"/>
    </row>
    <row r="6" spans="2:26" ht="6" customHeight="1" thickBot="1" x14ac:dyDescent="0.3"/>
    <row r="7" spans="2:26" ht="15.75" customHeight="1" thickBot="1" x14ac:dyDescent="0.3">
      <c r="C7" s="560" t="s">
        <v>2</v>
      </c>
      <c r="D7" s="562" t="s">
        <v>3</v>
      </c>
      <c r="E7" s="562" t="s">
        <v>4</v>
      </c>
      <c r="F7" s="562" t="s">
        <v>5</v>
      </c>
      <c r="G7" s="564" t="s">
        <v>6</v>
      </c>
      <c r="H7" s="554" t="s">
        <v>7</v>
      </c>
      <c r="I7" s="556" t="s">
        <v>43</v>
      </c>
      <c r="J7" s="558" t="s">
        <v>9</v>
      </c>
      <c r="K7" s="545" t="s">
        <v>44</v>
      </c>
      <c r="L7" s="546"/>
      <c r="M7" s="546"/>
      <c r="N7" s="546"/>
      <c r="O7" s="546"/>
      <c r="P7" s="546"/>
      <c r="Q7" s="546"/>
      <c r="R7" s="546"/>
      <c r="S7" s="546"/>
      <c r="T7" s="547"/>
      <c r="V7" s="489" t="s">
        <v>45</v>
      </c>
    </row>
    <row r="8" spans="2:26" ht="24.75" thickBot="1" x14ac:dyDescent="0.3">
      <c r="C8" s="561"/>
      <c r="D8" s="563"/>
      <c r="E8" s="563"/>
      <c r="F8" s="563"/>
      <c r="G8" s="565"/>
      <c r="H8" s="555"/>
      <c r="I8" s="557"/>
      <c r="J8" s="559"/>
      <c r="K8" s="200" t="s">
        <v>46</v>
      </c>
      <c r="L8" s="201" t="s">
        <v>47</v>
      </c>
      <c r="M8" s="201" t="s">
        <v>456</v>
      </c>
      <c r="N8" s="202" t="s">
        <v>48</v>
      </c>
      <c r="O8" s="202" t="s">
        <v>457</v>
      </c>
      <c r="P8" s="202" t="s">
        <v>49</v>
      </c>
      <c r="Q8" s="202" t="s">
        <v>50</v>
      </c>
      <c r="R8" s="202" t="s">
        <v>51</v>
      </c>
      <c r="S8" s="202" t="s">
        <v>52</v>
      </c>
      <c r="T8" s="203" t="s">
        <v>53</v>
      </c>
      <c r="V8" s="490"/>
    </row>
    <row r="9" spans="2:26" x14ac:dyDescent="0.25">
      <c r="B9" s="40">
        <v>1</v>
      </c>
      <c r="C9" s="210" t="s">
        <v>67</v>
      </c>
      <c r="D9" s="140" t="s">
        <v>68</v>
      </c>
      <c r="E9" s="140" t="s">
        <v>69</v>
      </c>
      <c r="F9" s="140" t="s">
        <v>70</v>
      </c>
      <c r="G9" s="140" t="s">
        <v>58</v>
      </c>
      <c r="H9" s="140" t="s">
        <v>71</v>
      </c>
      <c r="I9" s="141">
        <v>46388</v>
      </c>
      <c r="J9" s="146">
        <v>46935</v>
      </c>
      <c r="K9" s="390" t="s">
        <v>61</v>
      </c>
      <c r="L9" s="391" t="s">
        <v>61</v>
      </c>
      <c r="M9" s="391" t="s">
        <v>61</v>
      </c>
      <c r="N9" s="391" t="s">
        <v>454</v>
      </c>
      <c r="O9" s="391" t="s">
        <v>61</v>
      </c>
      <c r="P9" s="391" t="s">
        <v>60</v>
      </c>
      <c r="Q9" s="391" t="s">
        <v>454</v>
      </c>
      <c r="R9" s="391" t="s">
        <v>61</v>
      </c>
      <c r="S9" s="391" t="s">
        <v>61</v>
      </c>
      <c r="T9" s="392" t="s">
        <v>451</v>
      </c>
      <c r="V9" s="64" t="s">
        <v>15</v>
      </c>
      <c r="Y9" s="12" t="s">
        <v>15</v>
      </c>
      <c r="Z9" s="12">
        <f>'Resumen Ejecutivo'!S9</f>
        <v>6</v>
      </c>
    </row>
    <row r="10" spans="2:26" x14ac:dyDescent="0.25">
      <c r="B10" s="40">
        <v>2</v>
      </c>
      <c r="C10" s="142" t="s">
        <v>54</v>
      </c>
      <c r="D10" s="139" t="s">
        <v>55</v>
      </c>
      <c r="E10" s="139" t="s">
        <v>56</v>
      </c>
      <c r="F10" s="139" t="s">
        <v>57</v>
      </c>
      <c r="G10" s="139" t="s">
        <v>58</v>
      </c>
      <c r="H10" s="139" t="s">
        <v>59</v>
      </c>
      <c r="I10" s="87">
        <v>46341</v>
      </c>
      <c r="J10" s="147">
        <v>47118</v>
      </c>
      <c r="K10" s="393" t="s">
        <v>61</v>
      </c>
      <c r="L10" s="394" t="s">
        <v>61</v>
      </c>
      <c r="M10" s="394" t="s">
        <v>61</v>
      </c>
      <c r="N10" s="394" t="s">
        <v>60</v>
      </c>
      <c r="O10" s="394" t="s">
        <v>61</v>
      </c>
      <c r="P10" s="394" t="s">
        <v>60</v>
      </c>
      <c r="Q10" s="394" t="s">
        <v>454</v>
      </c>
      <c r="R10" s="394" t="s">
        <v>61</v>
      </c>
      <c r="S10" s="394" t="s">
        <v>61</v>
      </c>
      <c r="T10" s="395" t="s">
        <v>454</v>
      </c>
      <c r="V10" s="160" t="s">
        <v>15</v>
      </c>
      <c r="Y10" s="12" t="s">
        <v>16</v>
      </c>
      <c r="Z10" s="12">
        <f>'Resumen Ejecutivo'!S10</f>
        <v>13</v>
      </c>
    </row>
    <row r="11" spans="2:26" x14ac:dyDescent="0.25">
      <c r="B11" s="40">
        <v>3</v>
      </c>
      <c r="C11" s="142" t="s">
        <v>62</v>
      </c>
      <c r="D11" s="139" t="s">
        <v>63</v>
      </c>
      <c r="E11" s="139" t="s">
        <v>64</v>
      </c>
      <c r="F11" s="139" t="s">
        <v>65</v>
      </c>
      <c r="G11" s="139" t="s">
        <v>58</v>
      </c>
      <c r="H11" s="139" t="s">
        <v>66</v>
      </c>
      <c r="I11" s="87">
        <v>46447</v>
      </c>
      <c r="J11" s="147">
        <v>46843</v>
      </c>
      <c r="K11" s="393" t="s">
        <v>452</v>
      </c>
      <c r="L11" s="394" t="s">
        <v>61</v>
      </c>
      <c r="M11" s="394" t="s">
        <v>454</v>
      </c>
      <c r="N11" s="394" t="s">
        <v>60</v>
      </c>
      <c r="O11" s="394" t="s">
        <v>454</v>
      </c>
      <c r="P11" s="394" t="s">
        <v>101</v>
      </c>
      <c r="Q11" s="394" t="s">
        <v>61</v>
      </c>
      <c r="R11" s="394" t="s">
        <v>61</v>
      </c>
      <c r="S11" s="394" t="s">
        <v>454</v>
      </c>
      <c r="T11" s="395" t="s">
        <v>454</v>
      </c>
      <c r="V11" s="65" t="s">
        <v>15</v>
      </c>
      <c r="Y11" s="12" t="s">
        <v>72</v>
      </c>
      <c r="Z11" s="12">
        <f>'Resumen Ejecutivo'!S11</f>
        <v>21</v>
      </c>
    </row>
    <row r="12" spans="2:26" x14ac:dyDescent="0.25">
      <c r="B12" s="40">
        <v>4</v>
      </c>
      <c r="C12" s="142" t="s">
        <v>78</v>
      </c>
      <c r="D12" s="139" t="s">
        <v>79</v>
      </c>
      <c r="E12" s="139" t="s">
        <v>80</v>
      </c>
      <c r="F12" s="139" t="s">
        <v>81</v>
      </c>
      <c r="G12" s="139" t="s">
        <v>58</v>
      </c>
      <c r="H12" s="139" t="s">
        <v>82</v>
      </c>
      <c r="I12" s="87">
        <v>46357</v>
      </c>
      <c r="J12" s="147">
        <v>46905</v>
      </c>
      <c r="K12" s="393" t="s">
        <v>452</v>
      </c>
      <c r="L12" s="394" t="s">
        <v>61</v>
      </c>
      <c r="M12" s="394" t="s">
        <v>454</v>
      </c>
      <c r="N12" s="394" t="s">
        <v>60</v>
      </c>
      <c r="O12" s="394" t="s">
        <v>454</v>
      </c>
      <c r="P12" s="394" t="s">
        <v>60</v>
      </c>
      <c r="Q12" s="394" t="s">
        <v>61</v>
      </c>
      <c r="R12" s="394" t="s">
        <v>61</v>
      </c>
      <c r="S12" s="394" t="s">
        <v>454</v>
      </c>
      <c r="T12" s="395" t="s">
        <v>451</v>
      </c>
      <c r="V12" s="65" t="s">
        <v>15</v>
      </c>
    </row>
    <row r="13" spans="2:26" x14ac:dyDescent="0.25">
      <c r="B13" s="40">
        <v>5</v>
      </c>
      <c r="C13" s="142" t="s">
        <v>90</v>
      </c>
      <c r="D13" s="139" t="s">
        <v>91</v>
      </c>
      <c r="E13" s="139" t="s">
        <v>92</v>
      </c>
      <c r="F13" s="139" t="s">
        <v>93</v>
      </c>
      <c r="G13" s="139" t="s">
        <v>58</v>
      </c>
      <c r="H13" s="139" t="s">
        <v>94</v>
      </c>
      <c r="I13" s="87">
        <v>46327</v>
      </c>
      <c r="J13" s="147">
        <v>46844</v>
      </c>
      <c r="K13" s="393" t="s">
        <v>452</v>
      </c>
      <c r="L13" s="394" t="s">
        <v>61</v>
      </c>
      <c r="M13" s="394" t="s">
        <v>454</v>
      </c>
      <c r="N13" s="394" t="s">
        <v>60</v>
      </c>
      <c r="O13" s="394" t="s">
        <v>61</v>
      </c>
      <c r="P13" s="394" t="s">
        <v>60</v>
      </c>
      <c r="Q13" s="394" t="s">
        <v>61</v>
      </c>
      <c r="R13" s="394" t="s">
        <v>452</v>
      </c>
      <c r="S13" s="394" t="s">
        <v>451</v>
      </c>
      <c r="T13" s="395" t="s">
        <v>454</v>
      </c>
      <c r="V13" s="65" t="s">
        <v>15</v>
      </c>
    </row>
    <row r="14" spans="2:26" x14ac:dyDescent="0.25">
      <c r="B14" s="40">
        <v>6</v>
      </c>
      <c r="C14" s="142" t="s">
        <v>102</v>
      </c>
      <c r="D14" s="139" t="s">
        <v>110</v>
      </c>
      <c r="E14" s="139" t="s">
        <v>111</v>
      </c>
      <c r="F14" s="139" t="s">
        <v>70</v>
      </c>
      <c r="G14" s="139" t="s">
        <v>109</v>
      </c>
      <c r="H14" s="139" t="s">
        <v>112</v>
      </c>
      <c r="I14" s="87">
        <v>46371</v>
      </c>
      <c r="J14" s="147">
        <v>47088</v>
      </c>
      <c r="K14" s="393" t="s">
        <v>61</v>
      </c>
      <c r="L14" s="394" t="s">
        <v>452</v>
      </c>
      <c r="M14" s="394" t="s">
        <v>452</v>
      </c>
      <c r="N14" s="394" t="s">
        <v>454</v>
      </c>
      <c r="O14" s="394" t="s">
        <v>451</v>
      </c>
      <c r="P14" s="394" t="s">
        <v>60</v>
      </c>
      <c r="Q14" s="394" t="s">
        <v>61</v>
      </c>
      <c r="R14" s="394" t="s">
        <v>454</v>
      </c>
      <c r="S14" s="394" t="s">
        <v>454</v>
      </c>
      <c r="T14" s="395" t="s">
        <v>454</v>
      </c>
      <c r="V14" s="65" t="s">
        <v>15</v>
      </c>
    </row>
    <row r="15" spans="2:26" x14ac:dyDescent="0.25">
      <c r="B15" s="40">
        <v>7</v>
      </c>
      <c r="C15" s="142" t="s">
        <v>96</v>
      </c>
      <c r="D15" s="139" t="s">
        <v>97</v>
      </c>
      <c r="E15" s="139" t="s">
        <v>98</v>
      </c>
      <c r="F15" s="139" t="s">
        <v>99</v>
      </c>
      <c r="G15" s="139" t="s">
        <v>58</v>
      </c>
      <c r="H15" s="139" t="s">
        <v>100</v>
      </c>
      <c r="I15" s="87">
        <v>46388</v>
      </c>
      <c r="J15" s="147">
        <v>46935</v>
      </c>
      <c r="K15" s="393" t="s">
        <v>61</v>
      </c>
      <c r="L15" s="394" t="s">
        <v>61</v>
      </c>
      <c r="M15" s="394" t="s">
        <v>454</v>
      </c>
      <c r="N15" s="394" t="s">
        <v>454</v>
      </c>
      <c r="O15" s="394" t="s">
        <v>61</v>
      </c>
      <c r="P15" s="394" t="s">
        <v>101</v>
      </c>
      <c r="Q15" s="394" t="s">
        <v>61</v>
      </c>
      <c r="R15" s="394" t="s">
        <v>454</v>
      </c>
      <c r="S15" s="394" t="s">
        <v>61</v>
      </c>
      <c r="T15" s="395" t="s">
        <v>454</v>
      </c>
      <c r="V15" s="66" t="s">
        <v>16</v>
      </c>
    </row>
    <row r="16" spans="2:26" x14ac:dyDescent="0.25">
      <c r="B16" s="40">
        <v>8</v>
      </c>
      <c r="C16" s="142" t="s">
        <v>83</v>
      </c>
      <c r="D16" s="139" t="s">
        <v>84</v>
      </c>
      <c r="E16" s="139" t="s">
        <v>85</v>
      </c>
      <c r="F16" s="139" t="s">
        <v>86</v>
      </c>
      <c r="G16" s="139" t="s">
        <v>58</v>
      </c>
      <c r="H16" s="139" t="s">
        <v>87</v>
      </c>
      <c r="I16" s="87">
        <v>46478</v>
      </c>
      <c r="J16" s="147">
        <v>47209</v>
      </c>
      <c r="K16" s="393" t="s">
        <v>61</v>
      </c>
      <c r="L16" s="394" t="s">
        <v>452</v>
      </c>
      <c r="M16" s="394" t="s">
        <v>454</v>
      </c>
      <c r="N16" s="394" t="s">
        <v>60</v>
      </c>
      <c r="O16" s="394" t="s">
        <v>61</v>
      </c>
      <c r="P16" s="394" t="s">
        <v>60</v>
      </c>
      <c r="Q16" s="394" t="s">
        <v>451</v>
      </c>
      <c r="R16" s="394" t="s">
        <v>61</v>
      </c>
      <c r="S16" s="394" t="s">
        <v>454</v>
      </c>
      <c r="T16" s="395" t="s">
        <v>451</v>
      </c>
      <c r="V16" s="66" t="s">
        <v>16</v>
      </c>
    </row>
    <row r="17" spans="2:22" x14ac:dyDescent="0.25">
      <c r="B17" s="40">
        <v>9</v>
      </c>
      <c r="C17" s="142" t="s">
        <v>83</v>
      </c>
      <c r="D17" s="139" t="s">
        <v>88</v>
      </c>
      <c r="E17" s="139" t="s">
        <v>85</v>
      </c>
      <c r="F17" s="139" t="s">
        <v>86</v>
      </c>
      <c r="G17" s="139" t="s">
        <v>58</v>
      </c>
      <c r="H17" s="139" t="s">
        <v>89</v>
      </c>
      <c r="I17" s="87">
        <v>46478</v>
      </c>
      <c r="J17" s="147">
        <v>47209</v>
      </c>
      <c r="K17" s="393" t="s">
        <v>61</v>
      </c>
      <c r="L17" s="394" t="s">
        <v>452</v>
      </c>
      <c r="M17" s="394" t="s">
        <v>454</v>
      </c>
      <c r="N17" s="394" t="s">
        <v>60</v>
      </c>
      <c r="O17" s="394" t="s">
        <v>61</v>
      </c>
      <c r="P17" s="394" t="s">
        <v>60</v>
      </c>
      <c r="Q17" s="394" t="s">
        <v>451</v>
      </c>
      <c r="R17" s="394" t="s">
        <v>61</v>
      </c>
      <c r="S17" s="394" t="s">
        <v>454</v>
      </c>
      <c r="T17" s="395" t="s">
        <v>451</v>
      </c>
      <c r="V17" s="66" t="s">
        <v>16</v>
      </c>
    </row>
    <row r="18" spans="2:22" x14ac:dyDescent="0.25">
      <c r="B18" s="40">
        <v>10</v>
      </c>
      <c r="C18" s="142" t="s">
        <v>54</v>
      </c>
      <c r="D18" s="139" t="s">
        <v>178</v>
      </c>
      <c r="E18" s="139" t="s">
        <v>179</v>
      </c>
      <c r="F18" s="139" t="s">
        <v>166</v>
      </c>
      <c r="G18" s="139" t="s">
        <v>58</v>
      </c>
      <c r="H18" s="139" t="s">
        <v>180</v>
      </c>
      <c r="I18" s="87">
        <v>46356</v>
      </c>
      <c r="J18" s="147">
        <v>47208</v>
      </c>
      <c r="K18" s="393" t="s">
        <v>61</v>
      </c>
      <c r="L18" s="394" t="s">
        <v>61</v>
      </c>
      <c r="M18" s="394" t="s">
        <v>454</v>
      </c>
      <c r="N18" s="394" t="s">
        <v>451</v>
      </c>
      <c r="O18" s="394" t="s">
        <v>61</v>
      </c>
      <c r="P18" s="394" t="s">
        <v>101</v>
      </c>
      <c r="Q18" s="394" t="s">
        <v>61</v>
      </c>
      <c r="R18" s="394" t="s">
        <v>454</v>
      </c>
      <c r="S18" s="394" t="s">
        <v>61</v>
      </c>
      <c r="T18" s="395" t="s">
        <v>61</v>
      </c>
      <c r="V18" s="66" t="s">
        <v>16</v>
      </c>
    </row>
    <row r="19" spans="2:22" x14ac:dyDescent="0.25">
      <c r="B19" s="40">
        <v>11</v>
      </c>
      <c r="C19" s="142" t="s">
        <v>102</v>
      </c>
      <c r="D19" s="139" t="s">
        <v>107</v>
      </c>
      <c r="E19" s="139" t="s">
        <v>108</v>
      </c>
      <c r="F19" s="139" t="s">
        <v>70</v>
      </c>
      <c r="G19" s="139" t="s">
        <v>109</v>
      </c>
      <c r="H19" s="139" t="s">
        <v>459</v>
      </c>
      <c r="I19" s="87"/>
      <c r="J19" s="147"/>
      <c r="K19" s="393" t="s">
        <v>61</v>
      </c>
      <c r="L19" s="394" t="s">
        <v>452</v>
      </c>
      <c r="M19" s="394" t="s">
        <v>451</v>
      </c>
      <c r="N19" s="394" t="s">
        <v>60</v>
      </c>
      <c r="O19" s="394" t="s">
        <v>452</v>
      </c>
      <c r="P19" s="394" t="s">
        <v>60</v>
      </c>
      <c r="Q19" s="394" t="s">
        <v>454</v>
      </c>
      <c r="R19" s="394" t="s">
        <v>452</v>
      </c>
      <c r="S19" s="394" t="s">
        <v>454</v>
      </c>
      <c r="T19" s="395" t="s">
        <v>451</v>
      </c>
      <c r="V19" s="66" t="s">
        <v>16</v>
      </c>
    </row>
    <row r="20" spans="2:22" x14ac:dyDescent="0.25">
      <c r="B20" s="40">
        <v>12</v>
      </c>
      <c r="C20" s="142" t="s">
        <v>83</v>
      </c>
      <c r="D20" s="139" t="s">
        <v>95</v>
      </c>
      <c r="E20" s="139" t="s">
        <v>85</v>
      </c>
      <c r="F20" s="139" t="s">
        <v>86</v>
      </c>
      <c r="G20" s="139" t="s">
        <v>58</v>
      </c>
      <c r="H20" s="139" t="s">
        <v>87</v>
      </c>
      <c r="I20" s="87">
        <v>46478</v>
      </c>
      <c r="J20" s="147">
        <v>47209</v>
      </c>
      <c r="K20" s="393" t="s">
        <v>61</v>
      </c>
      <c r="L20" s="394" t="s">
        <v>452</v>
      </c>
      <c r="M20" s="394" t="s">
        <v>452</v>
      </c>
      <c r="N20" s="394" t="s">
        <v>454</v>
      </c>
      <c r="O20" s="394" t="s">
        <v>61</v>
      </c>
      <c r="P20" s="394" t="s">
        <v>60</v>
      </c>
      <c r="Q20" s="394" t="s">
        <v>451</v>
      </c>
      <c r="R20" s="394" t="s">
        <v>61</v>
      </c>
      <c r="S20" s="394" t="s">
        <v>60</v>
      </c>
      <c r="T20" s="395" t="s">
        <v>451</v>
      </c>
      <c r="V20" s="66" t="s">
        <v>16</v>
      </c>
    </row>
    <row r="21" spans="2:22" x14ac:dyDescent="0.25">
      <c r="B21" s="40">
        <v>13</v>
      </c>
      <c r="C21" s="142" t="s">
        <v>73</v>
      </c>
      <c r="D21" s="139" t="s">
        <v>74</v>
      </c>
      <c r="E21" s="139" t="s">
        <v>75</v>
      </c>
      <c r="F21" s="139" t="s">
        <v>76</v>
      </c>
      <c r="G21" s="139" t="s">
        <v>58</v>
      </c>
      <c r="H21" s="139" t="s">
        <v>77</v>
      </c>
      <c r="I21" s="87">
        <v>46507</v>
      </c>
      <c r="J21" s="147">
        <v>47054</v>
      </c>
      <c r="K21" s="393" t="s">
        <v>61</v>
      </c>
      <c r="L21" s="394" t="s">
        <v>61</v>
      </c>
      <c r="M21" s="394" t="s">
        <v>454</v>
      </c>
      <c r="N21" s="394" t="s">
        <v>451</v>
      </c>
      <c r="O21" s="394" t="s">
        <v>452</v>
      </c>
      <c r="P21" s="394" t="s">
        <v>60</v>
      </c>
      <c r="Q21" s="394" t="s">
        <v>61</v>
      </c>
      <c r="R21" s="394" t="s">
        <v>454</v>
      </c>
      <c r="S21" s="394" t="s">
        <v>454</v>
      </c>
      <c r="T21" s="395" t="s">
        <v>61</v>
      </c>
      <c r="V21" s="66" t="s">
        <v>16</v>
      </c>
    </row>
    <row r="22" spans="2:22" x14ac:dyDescent="0.25">
      <c r="B22" s="40">
        <v>14</v>
      </c>
      <c r="C22" s="142" t="s">
        <v>102</v>
      </c>
      <c r="D22" s="139" t="s">
        <v>103</v>
      </c>
      <c r="E22" s="139" t="s">
        <v>104</v>
      </c>
      <c r="F22" s="139" t="s">
        <v>105</v>
      </c>
      <c r="G22" s="139" t="s">
        <v>58</v>
      </c>
      <c r="H22" s="139" t="s">
        <v>106</v>
      </c>
      <c r="I22" s="87">
        <v>46357</v>
      </c>
      <c r="J22" s="147">
        <v>46844</v>
      </c>
      <c r="K22" s="393" t="s">
        <v>61</v>
      </c>
      <c r="L22" s="394" t="s">
        <v>61</v>
      </c>
      <c r="M22" s="394" t="s">
        <v>452</v>
      </c>
      <c r="N22" s="394" t="s">
        <v>451</v>
      </c>
      <c r="O22" s="394" t="s">
        <v>452</v>
      </c>
      <c r="P22" s="394" t="s">
        <v>60</v>
      </c>
      <c r="Q22" s="394" t="s">
        <v>454</v>
      </c>
      <c r="R22" s="394" t="s">
        <v>452</v>
      </c>
      <c r="S22" s="394" t="s">
        <v>454</v>
      </c>
      <c r="T22" s="395" t="s">
        <v>454</v>
      </c>
      <c r="V22" s="111" t="s">
        <v>16</v>
      </c>
    </row>
    <row r="23" spans="2:22" x14ac:dyDescent="0.25">
      <c r="B23" s="40">
        <v>15</v>
      </c>
      <c r="C23" s="142" t="s">
        <v>150</v>
      </c>
      <c r="D23" s="139" t="s">
        <v>151</v>
      </c>
      <c r="E23" s="139" t="s">
        <v>99</v>
      </c>
      <c r="F23" s="139" t="s">
        <v>99</v>
      </c>
      <c r="G23" s="139" t="s">
        <v>58</v>
      </c>
      <c r="H23" s="139" t="s">
        <v>152</v>
      </c>
      <c r="I23" s="87">
        <v>46447</v>
      </c>
      <c r="J23" s="147">
        <v>47118</v>
      </c>
      <c r="K23" s="393" t="s">
        <v>452</v>
      </c>
      <c r="L23" s="394" t="s">
        <v>61</v>
      </c>
      <c r="M23" s="394" t="s">
        <v>454</v>
      </c>
      <c r="N23" s="394" t="s">
        <v>451</v>
      </c>
      <c r="O23" s="394" t="s">
        <v>454</v>
      </c>
      <c r="P23" s="394" t="s">
        <v>101</v>
      </c>
      <c r="Q23" s="394" t="s">
        <v>61</v>
      </c>
      <c r="R23" s="394" t="s">
        <v>61</v>
      </c>
      <c r="S23" s="394" t="s">
        <v>61</v>
      </c>
      <c r="T23" s="395" t="s">
        <v>61</v>
      </c>
      <c r="V23" s="111" t="s">
        <v>16</v>
      </c>
    </row>
    <row r="24" spans="2:22" x14ac:dyDescent="0.25">
      <c r="B24" s="40">
        <v>16</v>
      </c>
      <c r="C24" s="142" t="s">
        <v>119</v>
      </c>
      <c r="D24" s="139" t="s">
        <v>120</v>
      </c>
      <c r="E24" s="139" t="s">
        <v>121</v>
      </c>
      <c r="F24" s="139" t="s">
        <v>99</v>
      </c>
      <c r="G24" s="139" t="s">
        <v>58</v>
      </c>
      <c r="H24" s="139" t="s">
        <v>122</v>
      </c>
      <c r="I24" s="87">
        <v>46388</v>
      </c>
      <c r="J24" s="147">
        <v>46935</v>
      </c>
      <c r="K24" s="393" t="s">
        <v>61</v>
      </c>
      <c r="L24" s="394" t="s">
        <v>61</v>
      </c>
      <c r="M24" s="394" t="s">
        <v>452</v>
      </c>
      <c r="N24" s="394" t="s">
        <v>451</v>
      </c>
      <c r="O24" s="394" t="s">
        <v>61</v>
      </c>
      <c r="P24" s="394" t="s">
        <v>101</v>
      </c>
      <c r="Q24" s="394" t="s">
        <v>61</v>
      </c>
      <c r="R24" s="394" t="s">
        <v>452</v>
      </c>
      <c r="S24" s="394" t="s">
        <v>61</v>
      </c>
      <c r="T24" s="395" t="s">
        <v>454</v>
      </c>
      <c r="V24" s="111" t="s">
        <v>16</v>
      </c>
    </row>
    <row r="25" spans="2:22" x14ac:dyDescent="0.25">
      <c r="B25" s="40">
        <v>17</v>
      </c>
      <c r="C25" s="206" t="s">
        <v>67</v>
      </c>
      <c r="D25" s="207" t="s">
        <v>113</v>
      </c>
      <c r="E25" s="207" t="s">
        <v>114</v>
      </c>
      <c r="F25" s="207" t="s">
        <v>99</v>
      </c>
      <c r="G25" s="207" t="s">
        <v>58</v>
      </c>
      <c r="H25" s="207" t="s">
        <v>115</v>
      </c>
      <c r="I25" s="208">
        <v>46507</v>
      </c>
      <c r="J25" s="209">
        <v>47088</v>
      </c>
      <c r="K25" s="393" t="s">
        <v>452</v>
      </c>
      <c r="L25" s="394" t="s">
        <v>61</v>
      </c>
      <c r="M25" s="394" t="s">
        <v>454</v>
      </c>
      <c r="N25" s="394" t="s">
        <v>60</v>
      </c>
      <c r="O25" s="394" t="s">
        <v>454</v>
      </c>
      <c r="P25" s="394" t="s">
        <v>101</v>
      </c>
      <c r="Q25" s="394" t="s">
        <v>61</v>
      </c>
      <c r="R25" s="394" t="s">
        <v>454</v>
      </c>
      <c r="S25" s="394" t="s">
        <v>61</v>
      </c>
      <c r="T25" s="395" t="s">
        <v>454</v>
      </c>
      <c r="V25" s="111" t="s">
        <v>16</v>
      </c>
    </row>
    <row r="26" spans="2:22" x14ac:dyDescent="0.25">
      <c r="B26" s="40">
        <v>18</v>
      </c>
      <c r="C26" s="206" t="s">
        <v>119</v>
      </c>
      <c r="D26" s="207" t="s">
        <v>123</v>
      </c>
      <c r="E26" s="207" t="s">
        <v>124</v>
      </c>
      <c r="F26" s="207" t="s">
        <v>99</v>
      </c>
      <c r="G26" s="207" t="s">
        <v>58</v>
      </c>
      <c r="H26" s="207" t="s">
        <v>125</v>
      </c>
      <c r="I26" s="208">
        <v>46478</v>
      </c>
      <c r="J26" s="209">
        <v>47057</v>
      </c>
      <c r="K26" s="393" t="s">
        <v>61</v>
      </c>
      <c r="L26" s="394" t="s">
        <v>61</v>
      </c>
      <c r="M26" s="394" t="s">
        <v>451</v>
      </c>
      <c r="N26" s="394" t="s">
        <v>60</v>
      </c>
      <c r="O26" s="394" t="s">
        <v>454</v>
      </c>
      <c r="P26" s="394" t="s">
        <v>101</v>
      </c>
      <c r="Q26" s="394" t="s">
        <v>61</v>
      </c>
      <c r="R26" s="394" t="s">
        <v>452</v>
      </c>
      <c r="S26" s="394" t="s">
        <v>61</v>
      </c>
      <c r="T26" s="395" t="s">
        <v>454</v>
      </c>
      <c r="V26" s="111" t="s">
        <v>16</v>
      </c>
    </row>
    <row r="27" spans="2:22" ht="14.25" thickBot="1" x14ac:dyDescent="0.3">
      <c r="B27" s="40">
        <v>19</v>
      </c>
      <c r="C27" s="143" t="s">
        <v>54</v>
      </c>
      <c r="D27" s="144" t="s">
        <v>116</v>
      </c>
      <c r="E27" s="144" t="s">
        <v>117</v>
      </c>
      <c r="F27" s="144" t="s">
        <v>118</v>
      </c>
      <c r="G27" s="144" t="s">
        <v>58</v>
      </c>
      <c r="H27" s="144" t="s">
        <v>526</v>
      </c>
      <c r="I27" s="145">
        <v>46356</v>
      </c>
      <c r="J27" s="148">
        <v>47360</v>
      </c>
      <c r="K27" s="396" t="s">
        <v>61</v>
      </c>
      <c r="L27" s="397" t="s">
        <v>61</v>
      </c>
      <c r="M27" s="397" t="s">
        <v>454</v>
      </c>
      <c r="N27" s="397" t="s">
        <v>60</v>
      </c>
      <c r="O27" s="397" t="s">
        <v>452</v>
      </c>
      <c r="P27" s="397" t="s">
        <v>101</v>
      </c>
      <c r="Q27" s="397" t="s">
        <v>454</v>
      </c>
      <c r="R27" s="397" t="s">
        <v>454</v>
      </c>
      <c r="S27" s="397" t="s">
        <v>454</v>
      </c>
      <c r="T27" s="398" t="s">
        <v>451</v>
      </c>
      <c r="V27" s="81" t="s">
        <v>16</v>
      </c>
    </row>
    <row r="28" spans="2:22" ht="14.25" thickBot="1" x14ac:dyDescent="0.3"/>
    <row r="29" spans="2:22" ht="14.25" thickBot="1" x14ac:dyDescent="0.3">
      <c r="C29" s="486" t="s">
        <v>19</v>
      </c>
      <c r="D29" s="527"/>
      <c r="E29" s="487"/>
      <c r="F29" s="527"/>
      <c r="G29" s="527"/>
      <c r="H29" s="527"/>
      <c r="I29" s="527"/>
      <c r="J29" s="527"/>
      <c r="K29" s="527"/>
      <c r="L29" s="527"/>
      <c r="M29" s="527"/>
      <c r="N29" s="527"/>
      <c r="O29" s="527"/>
      <c r="P29" s="527"/>
      <c r="Q29" s="527"/>
      <c r="R29" s="527"/>
      <c r="S29" s="527"/>
      <c r="T29" s="527"/>
      <c r="U29" s="527"/>
      <c r="V29" s="528"/>
    </row>
    <row r="30" spans="2:22" ht="13.5" customHeight="1" x14ac:dyDescent="0.25">
      <c r="C30" s="539" t="s">
        <v>20</v>
      </c>
      <c r="D30" s="153" t="s">
        <v>21</v>
      </c>
      <c r="E30" s="533" t="s">
        <v>22</v>
      </c>
      <c r="F30" s="542" t="s">
        <v>23</v>
      </c>
      <c r="G30" s="543"/>
      <c r="H30" s="543"/>
      <c r="I30" s="543"/>
      <c r="J30" s="544"/>
      <c r="K30" s="503" t="s">
        <v>126</v>
      </c>
      <c r="L30" s="509" t="s">
        <v>450</v>
      </c>
      <c r="M30" s="510"/>
      <c r="N30" s="510"/>
      <c r="O30" s="510"/>
      <c r="P30" s="510"/>
      <c r="Q30" s="510"/>
      <c r="R30" s="510"/>
      <c r="S30" s="510"/>
      <c r="T30" s="510"/>
      <c r="U30" s="510"/>
      <c r="V30" s="511"/>
    </row>
    <row r="31" spans="2:22" x14ac:dyDescent="0.25">
      <c r="C31" s="540"/>
      <c r="D31" s="154" t="s">
        <v>24</v>
      </c>
      <c r="E31" s="534"/>
      <c r="F31" s="518" t="s">
        <v>25</v>
      </c>
      <c r="G31" s="519"/>
      <c r="H31" s="519"/>
      <c r="I31" s="519"/>
      <c r="J31" s="520"/>
      <c r="K31" s="504"/>
      <c r="L31" s="506" t="s">
        <v>453</v>
      </c>
      <c r="M31" s="507"/>
      <c r="N31" s="507"/>
      <c r="O31" s="507"/>
      <c r="P31" s="507"/>
      <c r="Q31" s="507"/>
      <c r="R31" s="507"/>
      <c r="S31" s="507"/>
      <c r="T31" s="507"/>
      <c r="U31" s="507"/>
      <c r="V31" s="508"/>
    </row>
    <row r="32" spans="2:22" ht="14.25" thickBot="1" x14ac:dyDescent="0.3">
      <c r="C32" s="541"/>
      <c r="D32" s="155" t="s">
        <v>26</v>
      </c>
      <c r="E32" s="534"/>
      <c r="F32" s="518" t="s">
        <v>127</v>
      </c>
      <c r="G32" s="519"/>
      <c r="H32" s="519"/>
      <c r="I32" s="519"/>
      <c r="J32" s="520"/>
      <c r="K32" s="504"/>
      <c r="L32" s="506" t="s">
        <v>458</v>
      </c>
      <c r="M32" s="507"/>
      <c r="N32" s="507"/>
      <c r="O32" s="507"/>
      <c r="P32" s="507"/>
      <c r="Q32" s="507"/>
      <c r="R32" s="507"/>
      <c r="S32" s="507"/>
      <c r="T32" s="507"/>
      <c r="U32" s="507"/>
      <c r="V32" s="508"/>
    </row>
    <row r="33" spans="3:22" ht="13.5" customHeight="1" x14ac:dyDescent="0.25">
      <c r="C33" s="536" t="s">
        <v>128</v>
      </c>
      <c r="D33" s="157" t="s">
        <v>29</v>
      </c>
      <c r="E33" s="534"/>
      <c r="F33" s="518" t="s">
        <v>30</v>
      </c>
      <c r="G33" s="519"/>
      <c r="H33" s="519"/>
      <c r="I33" s="519"/>
      <c r="J33" s="520"/>
      <c r="K33" s="504"/>
      <c r="L33" s="512" t="s">
        <v>455</v>
      </c>
      <c r="M33" s="513"/>
      <c r="N33" s="513"/>
      <c r="O33" s="513"/>
      <c r="P33" s="513"/>
      <c r="Q33" s="513"/>
      <c r="R33" s="513"/>
      <c r="S33" s="513"/>
      <c r="T33" s="513"/>
      <c r="U33" s="513"/>
      <c r="V33" s="514"/>
    </row>
    <row r="34" spans="3:22" ht="14.25" thickBot="1" x14ac:dyDescent="0.3">
      <c r="C34" s="537"/>
      <c r="D34" s="158" t="s">
        <v>31</v>
      </c>
      <c r="E34" s="534"/>
      <c r="F34" s="518" t="s">
        <v>32</v>
      </c>
      <c r="G34" s="519"/>
      <c r="H34" s="519"/>
      <c r="I34" s="519"/>
      <c r="J34" s="520"/>
      <c r="K34" s="505"/>
      <c r="L34" s="515" t="s">
        <v>129</v>
      </c>
      <c r="M34" s="516"/>
      <c r="N34" s="516"/>
      <c r="O34" s="516"/>
      <c r="P34" s="516"/>
      <c r="Q34" s="516"/>
      <c r="R34" s="516"/>
      <c r="S34" s="516"/>
      <c r="T34" s="516"/>
      <c r="U34" s="516"/>
      <c r="V34" s="517"/>
    </row>
    <row r="35" spans="3:22" ht="14.25" thickBot="1" x14ac:dyDescent="0.3">
      <c r="C35" s="538"/>
      <c r="D35" s="159" t="s">
        <v>33</v>
      </c>
      <c r="E35" s="534"/>
      <c r="F35" s="518" t="s">
        <v>34</v>
      </c>
      <c r="G35" s="519"/>
      <c r="H35" s="519"/>
      <c r="I35" s="519"/>
      <c r="J35" s="520"/>
      <c r="V35" s="45"/>
    </row>
    <row r="36" spans="3:22" x14ac:dyDescent="0.25">
      <c r="C36" s="152" t="s">
        <v>35</v>
      </c>
      <c r="D36" s="156" t="s">
        <v>36</v>
      </c>
      <c r="E36" s="534"/>
      <c r="F36" s="518" t="s">
        <v>37</v>
      </c>
      <c r="G36" s="519"/>
      <c r="H36" s="519"/>
      <c r="I36" s="519"/>
      <c r="J36" s="520"/>
      <c r="V36" s="45"/>
    </row>
    <row r="37" spans="3:22" x14ac:dyDescent="0.25">
      <c r="C37" s="531" t="s">
        <v>38</v>
      </c>
      <c r="D37" s="529" t="s">
        <v>39</v>
      </c>
      <c r="E37" s="534"/>
      <c r="F37" s="521" t="s">
        <v>40</v>
      </c>
      <c r="G37" s="522"/>
      <c r="H37" s="522"/>
      <c r="I37" s="522"/>
      <c r="J37" s="523"/>
      <c r="V37" s="45"/>
    </row>
    <row r="38" spans="3:22" x14ac:dyDescent="0.25">
      <c r="C38" s="531"/>
      <c r="D38" s="529"/>
      <c r="E38" s="534"/>
      <c r="F38" s="521" t="s">
        <v>41</v>
      </c>
      <c r="G38" s="522"/>
      <c r="H38" s="522"/>
      <c r="I38" s="522"/>
      <c r="J38" s="523"/>
      <c r="V38" s="45"/>
    </row>
    <row r="39" spans="3:22" ht="14.25" thickBot="1" x14ac:dyDescent="0.3">
      <c r="C39" s="532"/>
      <c r="D39" s="530"/>
      <c r="E39" s="535"/>
      <c r="F39" s="524" t="s">
        <v>42</v>
      </c>
      <c r="G39" s="525"/>
      <c r="H39" s="525"/>
      <c r="I39" s="525"/>
      <c r="J39" s="526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46"/>
    </row>
    <row r="40" spans="3:22" x14ac:dyDescent="0.25">
      <c r="C40" s="2"/>
    </row>
    <row r="41" spans="3:22" x14ac:dyDescent="0.25">
      <c r="C41" s="2"/>
    </row>
    <row r="42" spans="3:22" x14ac:dyDescent="0.25">
      <c r="C42" s="2"/>
    </row>
    <row r="43" spans="3:22" x14ac:dyDescent="0.25">
      <c r="C43" s="2"/>
    </row>
    <row r="44" spans="3:22" x14ac:dyDescent="0.25">
      <c r="C44" s="2"/>
    </row>
    <row r="45" spans="3:22" x14ac:dyDescent="0.25">
      <c r="C45" s="68"/>
      <c r="D45" s="39"/>
    </row>
    <row r="46" spans="3:22" x14ac:dyDescent="0.25">
      <c r="C46" s="68"/>
      <c r="D46" s="39"/>
    </row>
    <row r="48" spans="3:22" x14ac:dyDescent="0.25">
      <c r="C48" s="2"/>
    </row>
    <row r="49" spans="3:3" x14ac:dyDescent="0.25">
      <c r="C49" s="2"/>
    </row>
    <row r="50" spans="3:3" x14ac:dyDescent="0.25">
      <c r="C50" s="2"/>
    </row>
    <row r="51" spans="3:3" x14ac:dyDescent="0.25">
      <c r="C51" s="2"/>
    </row>
  </sheetData>
  <mergeCells count="36">
    <mergeCell ref="C7:C8"/>
    <mergeCell ref="D7:D8"/>
    <mergeCell ref="E7:E8"/>
    <mergeCell ref="F7:F8"/>
    <mergeCell ref="G7:G8"/>
    <mergeCell ref="V7:V8"/>
    <mergeCell ref="K7:T7"/>
    <mergeCell ref="E2:U2"/>
    <mergeCell ref="E3:U3"/>
    <mergeCell ref="E4:U4"/>
    <mergeCell ref="E5:U5"/>
    <mergeCell ref="H7:H8"/>
    <mergeCell ref="I7:I8"/>
    <mergeCell ref="J7:J8"/>
    <mergeCell ref="F36:J36"/>
    <mergeCell ref="F37:J37"/>
    <mergeCell ref="F38:J38"/>
    <mergeCell ref="F39:J39"/>
    <mergeCell ref="C29:V29"/>
    <mergeCell ref="D37:D39"/>
    <mergeCell ref="C37:C39"/>
    <mergeCell ref="E30:E39"/>
    <mergeCell ref="C33:C35"/>
    <mergeCell ref="C30:C32"/>
    <mergeCell ref="F30:J30"/>
    <mergeCell ref="F31:J31"/>
    <mergeCell ref="F32:J32"/>
    <mergeCell ref="F33:J33"/>
    <mergeCell ref="F34:J34"/>
    <mergeCell ref="F35:J35"/>
    <mergeCell ref="K30:K34"/>
    <mergeCell ref="L32:V32"/>
    <mergeCell ref="L30:V30"/>
    <mergeCell ref="L31:V31"/>
    <mergeCell ref="L33:V33"/>
    <mergeCell ref="L34:V34"/>
  </mergeCells>
  <conditionalFormatting sqref="K1:T29 K30:L30 L31:L34 K35:T38 K39:U39 K40:T1048576">
    <cfRule type="containsText" dxfId="5" priority="1" operator="containsText" text="En evaluación">
      <formula>NOT(ISERROR(SEARCH("En evaluación",K1)))</formula>
    </cfRule>
    <cfRule type="containsText" dxfId="4" priority="2" operator="containsText" text="En elaboración">
      <formula>NOT(ISERROR(SEARCH("En elaboración",K1)))</formula>
    </cfRule>
    <cfRule type="containsText" dxfId="3" priority="3" operator="containsText" text="Actualización">
      <formula>NOT(ISERROR(SEARCH("Actualización",K1)))</formula>
    </cfRule>
    <cfRule type="containsText" dxfId="2" priority="4" operator="containsText" text="Pendiente">
      <formula>NOT(ISERROR(SEARCH("Pendiente",K1)))</formula>
    </cfRule>
    <cfRule type="containsText" dxfId="1" priority="5" operator="containsText" text="Liberado">
      <formula>NOT(ISERROR(SEARCH("Liberado",K1)))</formula>
    </cfRule>
    <cfRule type="containsText" dxfId="0" priority="6" operator="containsText" text="N/A">
      <formula>NOT(ISERROR(SEARCH("N/A",K1)))</formula>
    </cfRule>
  </conditionalFormatting>
  <printOptions horizontalCentered="1"/>
  <pageMargins left="0.19685039370078741" right="0.19685039370078741" top="0.39370078740157483" bottom="0.39370078740157483" header="0" footer="0"/>
  <pageSetup paperSize="5" scale="6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D696-1CA9-47C9-A516-5323E98E7393}">
  <sheetPr>
    <tabColor rgb="FF0070C0"/>
    <pageSetUpPr fitToPage="1"/>
  </sheetPr>
  <dimension ref="B1:AG96"/>
  <sheetViews>
    <sheetView topLeftCell="A11" zoomScale="70" zoomScaleNormal="70" zoomScaleSheetLayoutView="80" workbookViewId="0">
      <selection activeCell="Y33" sqref="Y33"/>
    </sheetView>
  </sheetViews>
  <sheetFormatPr baseColWidth="10" defaultColWidth="11.42578125" defaultRowHeight="13.5" x14ac:dyDescent="0.25"/>
  <cols>
    <col min="1" max="1" width="2.42578125" style="2" customWidth="1"/>
    <col min="2" max="2" width="5.7109375" style="2" customWidth="1"/>
    <col min="3" max="3" width="17.7109375" style="3" customWidth="1"/>
    <col min="4" max="4" width="22.28515625" style="2" customWidth="1"/>
    <col min="5" max="5" width="18.42578125" style="2" customWidth="1"/>
    <col min="6" max="6" width="14.85546875" style="2" customWidth="1"/>
    <col min="7" max="10" width="12.7109375" style="2" customWidth="1"/>
    <col min="11" max="12" width="10.7109375" style="2" customWidth="1"/>
    <col min="13" max="13" width="13.28515625" style="2" customWidth="1"/>
    <col min="14" max="16" width="10.7109375" style="2" customWidth="1"/>
    <col min="17" max="28" width="11.42578125" style="2"/>
    <col min="29" max="29" width="2.7109375" style="2" customWidth="1"/>
    <col min="30" max="31" width="11.42578125" style="2"/>
    <col min="32" max="32" width="2.7109375" style="2" customWidth="1"/>
    <col min="33" max="33" width="11.42578125" style="2"/>
    <col min="34" max="34" width="2.7109375" style="2" customWidth="1"/>
    <col min="35" max="16384" width="11.42578125" style="2"/>
  </cols>
  <sheetData>
    <row r="1" spans="2:33" ht="14.25" thickBot="1" x14ac:dyDescent="0.3">
      <c r="N1" s="4"/>
    </row>
    <row r="2" spans="2:33" ht="18" customHeight="1" x14ac:dyDescent="0.25">
      <c r="B2" s="16"/>
      <c r="C2" s="17"/>
      <c r="D2" s="18"/>
      <c r="E2" s="18"/>
      <c r="F2" s="19"/>
      <c r="G2" s="20"/>
      <c r="H2" s="20"/>
      <c r="I2" s="20"/>
      <c r="J2" s="20"/>
      <c r="K2" s="20"/>
      <c r="L2" s="20"/>
      <c r="M2" s="21"/>
      <c r="N2" s="21"/>
      <c r="O2" s="20"/>
      <c r="P2" s="21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2" t="s">
        <v>130</v>
      </c>
      <c r="AC2" s="5"/>
      <c r="AD2" s="404" t="s">
        <v>449</v>
      </c>
      <c r="AE2" s="405"/>
      <c r="AF2" s="5"/>
      <c r="AG2" s="410">
        <f ca="1">TODAY()</f>
        <v>46321</v>
      </c>
    </row>
    <row r="3" spans="2:33" ht="18" customHeight="1" x14ac:dyDescent="0.25">
      <c r="B3" s="23"/>
      <c r="C3" s="11"/>
      <c r="D3" s="12"/>
      <c r="E3" s="12"/>
      <c r="F3" s="14"/>
      <c r="G3" s="14"/>
      <c r="H3" s="14"/>
      <c r="I3" s="14"/>
      <c r="J3" s="14"/>
      <c r="K3" s="5"/>
      <c r="L3" s="5"/>
      <c r="O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24" t="s">
        <v>131</v>
      </c>
      <c r="AC3" s="5"/>
      <c r="AD3" s="406"/>
      <c r="AE3" s="407"/>
      <c r="AF3" s="5"/>
      <c r="AG3" s="411"/>
    </row>
    <row r="4" spans="2:33" ht="18" customHeight="1" x14ac:dyDescent="0.25">
      <c r="B4" s="23"/>
      <c r="C4" s="13"/>
      <c r="D4" s="12"/>
      <c r="E4" s="12"/>
      <c r="F4" s="14"/>
      <c r="G4" s="14"/>
      <c r="H4" s="14"/>
      <c r="I4" s="14"/>
      <c r="J4" s="14"/>
      <c r="K4" s="5"/>
      <c r="L4" s="5"/>
      <c r="O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25" t="s">
        <v>132</v>
      </c>
      <c r="AC4" s="5"/>
      <c r="AD4" s="406"/>
      <c r="AE4" s="407"/>
      <c r="AF4" s="5"/>
      <c r="AG4" s="411"/>
    </row>
    <row r="5" spans="2:33" ht="14.25" customHeight="1" x14ac:dyDescent="0.25">
      <c r="B5" s="23"/>
      <c r="C5" s="13"/>
      <c r="D5" s="11"/>
      <c r="E5" s="11"/>
      <c r="F5" s="14"/>
      <c r="G5" s="400" t="s">
        <v>1</v>
      </c>
      <c r="H5" s="400"/>
      <c r="I5" s="400"/>
      <c r="J5" s="400"/>
      <c r="K5" s="400"/>
      <c r="L5" s="400"/>
      <c r="M5" s="400"/>
      <c r="N5" s="400"/>
      <c r="O5" s="400"/>
      <c r="P5" s="400"/>
      <c r="Q5" s="400"/>
      <c r="R5" s="400"/>
      <c r="S5" s="400"/>
      <c r="T5" s="400"/>
      <c r="U5" s="400"/>
      <c r="V5" s="400"/>
      <c r="W5" s="400"/>
      <c r="X5" s="400"/>
      <c r="Y5" s="400"/>
      <c r="Z5" s="400"/>
      <c r="AA5" s="400"/>
      <c r="AB5" s="401"/>
      <c r="AC5" s="5"/>
      <c r="AD5" s="406"/>
      <c r="AE5" s="407"/>
      <c r="AF5" s="15"/>
      <c r="AG5" s="411"/>
    </row>
    <row r="6" spans="2:33" ht="28.5" customHeight="1" thickBot="1" x14ac:dyDescent="0.3">
      <c r="B6" s="26"/>
      <c r="C6" s="27"/>
      <c r="D6" s="28"/>
      <c r="E6" s="28"/>
      <c r="F6" s="28"/>
      <c r="G6" s="402"/>
      <c r="H6" s="402"/>
      <c r="I6" s="402"/>
      <c r="J6" s="402"/>
      <c r="K6" s="402"/>
      <c r="L6" s="402"/>
      <c r="M6" s="402"/>
      <c r="N6" s="402"/>
      <c r="O6" s="402"/>
      <c r="P6" s="402"/>
      <c r="Q6" s="402"/>
      <c r="R6" s="402"/>
      <c r="S6" s="402"/>
      <c r="T6" s="402"/>
      <c r="U6" s="402"/>
      <c r="V6" s="402"/>
      <c r="W6" s="402"/>
      <c r="X6" s="402"/>
      <c r="Y6" s="402"/>
      <c r="Z6" s="402"/>
      <c r="AA6" s="402"/>
      <c r="AB6" s="403"/>
      <c r="AC6" s="5"/>
      <c r="AD6" s="408"/>
      <c r="AE6" s="409"/>
      <c r="AF6" s="15"/>
      <c r="AG6" s="412"/>
    </row>
    <row r="7" spans="2:33" ht="11.25" customHeight="1" thickBot="1" x14ac:dyDescent="0.3"/>
    <row r="8" spans="2:33" ht="19.5" customHeight="1" x14ac:dyDescent="0.25">
      <c r="B8" s="460" t="s">
        <v>133</v>
      </c>
      <c r="C8" s="463" t="s">
        <v>2</v>
      </c>
      <c r="D8" s="463" t="s">
        <v>3</v>
      </c>
      <c r="E8" s="463" t="s">
        <v>4</v>
      </c>
      <c r="F8" s="463" t="s">
        <v>134</v>
      </c>
      <c r="G8" s="447" t="s">
        <v>135</v>
      </c>
      <c r="H8" s="466" t="s">
        <v>7</v>
      </c>
      <c r="I8" s="469" t="s">
        <v>136</v>
      </c>
      <c r="J8" s="472" t="s">
        <v>9</v>
      </c>
      <c r="K8" s="453" t="s">
        <v>137</v>
      </c>
      <c r="L8" s="454"/>
      <c r="M8" s="457" t="s">
        <v>138</v>
      </c>
      <c r="N8" s="450" t="s">
        <v>139</v>
      </c>
      <c r="O8" s="451"/>
      <c r="P8" s="451"/>
      <c r="Q8" s="452"/>
      <c r="R8" s="425" t="s">
        <v>140</v>
      </c>
      <c r="S8" s="417"/>
      <c r="T8" s="418"/>
      <c r="U8" s="450" t="s">
        <v>141</v>
      </c>
      <c r="V8" s="451"/>
      <c r="W8" s="451"/>
      <c r="X8" s="451"/>
      <c r="Y8" s="451"/>
      <c r="Z8" s="451"/>
      <c r="AA8" s="451"/>
      <c r="AB8" s="452"/>
      <c r="AD8" s="433" t="s">
        <v>142</v>
      </c>
      <c r="AE8" s="436" t="s">
        <v>143</v>
      </c>
      <c r="AG8" s="439" t="s">
        <v>144</v>
      </c>
    </row>
    <row r="9" spans="2:33" ht="19.5" customHeight="1" x14ac:dyDescent="0.25">
      <c r="B9" s="461"/>
      <c r="C9" s="464"/>
      <c r="D9" s="464"/>
      <c r="E9" s="464"/>
      <c r="F9" s="464"/>
      <c r="G9" s="448"/>
      <c r="H9" s="467"/>
      <c r="I9" s="470"/>
      <c r="J9" s="473"/>
      <c r="K9" s="455"/>
      <c r="L9" s="456"/>
      <c r="M9" s="458"/>
      <c r="N9" s="444" t="s">
        <v>145</v>
      </c>
      <c r="O9" s="431"/>
      <c r="P9" s="431" t="s">
        <v>48</v>
      </c>
      <c r="Q9" s="432"/>
      <c r="R9" s="445" t="s">
        <v>146</v>
      </c>
      <c r="S9" s="446"/>
      <c r="T9" s="442" t="s">
        <v>49</v>
      </c>
      <c r="U9" s="444" t="s">
        <v>51</v>
      </c>
      <c r="V9" s="431"/>
      <c r="W9" s="431" t="s">
        <v>50</v>
      </c>
      <c r="X9" s="431"/>
      <c r="Y9" s="431" t="s">
        <v>52</v>
      </c>
      <c r="Z9" s="431"/>
      <c r="AA9" s="431" t="s">
        <v>53</v>
      </c>
      <c r="AB9" s="432"/>
      <c r="AD9" s="434"/>
      <c r="AE9" s="437"/>
      <c r="AG9" s="440"/>
    </row>
    <row r="10" spans="2:33" ht="19.5" customHeight="1" thickBot="1" x14ac:dyDescent="0.3">
      <c r="B10" s="462"/>
      <c r="C10" s="465"/>
      <c r="D10" s="465"/>
      <c r="E10" s="465"/>
      <c r="F10" s="465"/>
      <c r="G10" s="449"/>
      <c r="H10" s="468"/>
      <c r="I10" s="471"/>
      <c r="J10" s="474"/>
      <c r="K10" s="33" t="s">
        <v>12</v>
      </c>
      <c r="L10" s="34" t="s">
        <v>13</v>
      </c>
      <c r="M10" s="459"/>
      <c r="N10" s="33" t="s">
        <v>12</v>
      </c>
      <c r="O10" s="35" t="s">
        <v>13</v>
      </c>
      <c r="P10" s="36" t="s">
        <v>12</v>
      </c>
      <c r="Q10" s="34" t="s">
        <v>13</v>
      </c>
      <c r="R10" s="37" t="s">
        <v>12</v>
      </c>
      <c r="S10" s="38" t="s">
        <v>13</v>
      </c>
      <c r="T10" s="443"/>
      <c r="U10" s="33" t="s">
        <v>12</v>
      </c>
      <c r="V10" s="35" t="s">
        <v>13</v>
      </c>
      <c r="W10" s="36" t="s">
        <v>12</v>
      </c>
      <c r="X10" s="35" t="s">
        <v>13</v>
      </c>
      <c r="Y10" s="36" t="s">
        <v>12</v>
      </c>
      <c r="Z10" s="35" t="s">
        <v>13</v>
      </c>
      <c r="AA10" s="36" t="s">
        <v>12</v>
      </c>
      <c r="AB10" s="34" t="s">
        <v>13</v>
      </c>
      <c r="AD10" s="435"/>
      <c r="AE10" s="438"/>
      <c r="AG10" s="441"/>
    </row>
    <row r="11" spans="2:33" ht="30" customHeight="1" x14ac:dyDescent="0.25">
      <c r="B11" s="238">
        <v>1</v>
      </c>
      <c r="C11" s="239" t="s">
        <v>119</v>
      </c>
      <c r="D11" s="240" t="s">
        <v>120</v>
      </c>
      <c r="E11" s="239" t="s">
        <v>121</v>
      </c>
      <c r="F11" s="240" t="s">
        <v>99</v>
      </c>
      <c r="G11" s="241" t="s">
        <v>58</v>
      </c>
      <c r="H11" s="242" t="s">
        <v>122</v>
      </c>
      <c r="I11" s="243">
        <v>46388</v>
      </c>
      <c r="J11" s="244">
        <v>46935</v>
      </c>
      <c r="K11" s="245">
        <v>1</v>
      </c>
      <c r="L11" s="246">
        <v>0.5</v>
      </c>
      <c r="M11" s="247">
        <v>1</v>
      </c>
      <c r="N11" s="245">
        <v>0.8</v>
      </c>
      <c r="O11" s="248">
        <v>0.5</v>
      </c>
      <c r="P11" s="249">
        <v>0.5</v>
      </c>
      <c r="Q11" s="246">
        <v>0.5</v>
      </c>
      <c r="R11" s="250">
        <v>1</v>
      </c>
      <c r="S11" s="251">
        <v>1</v>
      </c>
      <c r="T11" s="252">
        <v>0</v>
      </c>
      <c r="U11" s="245">
        <v>0.7</v>
      </c>
      <c r="V11" s="248">
        <v>0.5</v>
      </c>
      <c r="W11" s="249">
        <v>1</v>
      </c>
      <c r="X11" s="248">
        <v>1</v>
      </c>
      <c r="Y11" s="249">
        <v>1</v>
      </c>
      <c r="Z11" s="248">
        <v>1</v>
      </c>
      <c r="AA11" s="249">
        <v>0.9</v>
      </c>
      <c r="AB11" s="246">
        <v>0.9</v>
      </c>
      <c r="AC11" s="1"/>
      <c r="AD11" s="130">
        <f t="shared" ref="AD11:AD49" si="0">+(K11*$K$52)+(M11*$M$52)+(N11*$N$52)+(P11*$P$52)+(R11*$R$52)+(T11*$T$52)+(U11*$U$52)+(W11*$W$52)+(Y11*$Y$52)+(AA11*$AA$52)</f>
        <v>0.79000000000000026</v>
      </c>
      <c r="AE11" s="131">
        <f t="shared" ref="AE11:AE49" si="1">+(L11*$K$52)+(M11*$M$52)+(O11*$N$52)+(Q11*$P$52)+(S11*$R$52)+(T11*$T$52)+(V11*$U$52)+(X11*$W$52)+(Z11*$Y$52)+(AB11*$AA$52)</f>
        <v>0.67000000000000015</v>
      </c>
      <c r="AF11" s="1"/>
      <c r="AG11" s="132">
        <f>+(AD11*$AD$52)+(AE11*$AE$52)</f>
        <v>0.76600000000000024</v>
      </c>
    </row>
    <row r="12" spans="2:33" ht="30" customHeight="1" x14ac:dyDescent="0.25">
      <c r="B12" s="253">
        <v>2</v>
      </c>
      <c r="C12" s="254" t="s">
        <v>119</v>
      </c>
      <c r="D12" s="255" t="s">
        <v>123</v>
      </c>
      <c r="E12" s="254" t="s">
        <v>124</v>
      </c>
      <c r="F12" s="255" t="s">
        <v>99</v>
      </c>
      <c r="G12" s="256" t="s">
        <v>58</v>
      </c>
      <c r="H12" s="257" t="s">
        <v>125</v>
      </c>
      <c r="I12" s="258">
        <v>46478</v>
      </c>
      <c r="J12" s="259">
        <v>47057</v>
      </c>
      <c r="K12" s="260">
        <v>1</v>
      </c>
      <c r="L12" s="261">
        <v>0</v>
      </c>
      <c r="M12" s="262">
        <v>1</v>
      </c>
      <c r="N12" s="260">
        <v>0.5</v>
      </c>
      <c r="O12" s="263">
        <v>0.5</v>
      </c>
      <c r="P12" s="264">
        <v>1</v>
      </c>
      <c r="Q12" s="261">
        <v>0</v>
      </c>
      <c r="R12" s="260">
        <v>0.9</v>
      </c>
      <c r="S12" s="263">
        <v>0.9</v>
      </c>
      <c r="T12" s="265">
        <v>0</v>
      </c>
      <c r="U12" s="260">
        <v>0.9</v>
      </c>
      <c r="V12" s="263">
        <v>0</v>
      </c>
      <c r="W12" s="264">
        <v>1</v>
      </c>
      <c r="X12" s="263">
        <v>1</v>
      </c>
      <c r="Y12" s="264">
        <v>1</v>
      </c>
      <c r="Z12" s="263">
        <v>1</v>
      </c>
      <c r="AA12" s="264">
        <v>0.9</v>
      </c>
      <c r="AB12" s="261">
        <v>0.9</v>
      </c>
      <c r="AC12" s="1"/>
      <c r="AD12" s="133">
        <f t="shared" si="0"/>
        <v>0.77000000000000024</v>
      </c>
      <c r="AE12" s="134">
        <f t="shared" si="1"/>
        <v>0.52500000000000002</v>
      </c>
      <c r="AF12" s="1"/>
      <c r="AG12" s="135">
        <f t="shared" ref="AG12:AG49" si="2">+(AD12*$AD$52)+(AE12*$AE$52)</f>
        <v>0.7210000000000002</v>
      </c>
    </row>
    <row r="13" spans="2:33" ht="30" customHeight="1" x14ac:dyDescent="0.25">
      <c r="B13" s="266">
        <v>3</v>
      </c>
      <c r="C13" s="267" t="s">
        <v>119</v>
      </c>
      <c r="D13" s="268" t="s">
        <v>147</v>
      </c>
      <c r="E13" s="267" t="s">
        <v>148</v>
      </c>
      <c r="F13" s="268" t="s">
        <v>86</v>
      </c>
      <c r="G13" s="269" t="s">
        <v>58</v>
      </c>
      <c r="H13" s="270" t="s">
        <v>149</v>
      </c>
      <c r="I13" s="271">
        <v>46507</v>
      </c>
      <c r="J13" s="272">
        <v>47057</v>
      </c>
      <c r="K13" s="273">
        <v>0.5</v>
      </c>
      <c r="L13" s="274">
        <v>0.95</v>
      </c>
      <c r="M13" s="275">
        <v>1</v>
      </c>
      <c r="N13" s="273">
        <v>0.5</v>
      </c>
      <c r="O13" s="276">
        <v>0.5</v>
      </c>
      <c r="P13" s="277">
        <v>1</v>
      </c>
      <c r="Q13" s="274">
        <v>1</v>
      </c>
      <c r="R13" s="273">
        <v>0.5</v>
      </c>
      <c r="S13" s="276">
        <v>0.5</v>
      </c>
      <c r="T13" s="278">
        <v>1</v>
      </c>
      <c r="U13" s="273">
        <v>0.5</v>
      </c>
      <c r="V13" s="276">
        <v>0.5</v>
      </c>
      <c r="W13" s="277">
        <v>0.5</v>
      </c>
      <c r="X13" s="276">
        <v>0.5</v>
      </c>
      <c r="Y13" s="277">
        <v>0</v>
      </c>
      <c r="Z13" s="276">
        <v>0</v>
      </c>
      <c r="AA13" s="277">
        <v>0</v>
      </c>
      <c r="AB13" s="274">
        <v>0</v>
      </c>
      <c r="AC13" s="1"/>
      <c r="AD13" s="136">
        <f t="shared" si="0"/>
        <v>0.6</v>
      </c>
      <c r="AE13" s="137">
        <f t="shared" si="1"/>
        <v>0.64500000000000002</v>
      </c>
      <c r="AF13" s="1"/>
      <c r="AG13" s="138">
        <f t="shared" si="2"/>
        <v>0.60899999999999999</v>
      </c>
    </row>
    <row r="14" spans="2:33" ht="30" customHeight="1" x14ac:dyDescent="0.25">
      <c r="B14" s="279">
        <v>4</v>
      </c>
      <c r="C14" s="280" t="s">
        <v>96</v>
      </c>
      <c r="D14" s="281" t="s">
        <v>97</v>
      </c>
      <c r="E14" s="280" t="s">
        <v>98</v>
      </c>
      <c r="F14" s="281" t="s">
        <v>99</v>
      </c>
      <c r="G14" s="282" t="s">
        <v>58</v>
      </c>
      <c r="H14" s="283" t="s">
        <v>100</v>
      </c>
      <c r="I14" s="284">
        <v>46388</v>
      </c>
      <c r="J14" s="285">
        <v>46935</v>
      </c>
      <c r="K14" s="286">
        <v>1</v>
      </c>
      <c r="L14" s="287">
        <v>0</v>
      </c>
      <c r="M14" s="288">
        <v>1</v>
      </c>
      <c r="N14" s="286">
        <v>0.9</v>
      </c>
      <c r="O14" s="289">
        <v>0.9</v>
      </c>
      <c r="P14" s="290">
        <v>0.8</v>
      </c>
      <c r="Q14" s="287">
        <v>1</v>
      </c>
      <c r="R14" s="286">
        <v>1</v>
      </c>
      <c r="S14" s="289">
        <v>1</v>
      </c>
      <c r="T14" s="291">
        <v>0</v>
      </c>
      <c r="U14" s="286">
        <v>0.9</v>
      </c>
      <c r="V14" s="289">
        <v>1</v>
      </c>
      <c r="W14" s="290">
        <v>1</v>
      </c>
      <c r="X14" s="289">
        <v>1</v>
      </c>
      <c r="Y14" s="290">
        <v>1</v>
      </c>
      <c r="Z14" s="289">
        <v>1</v>
      </c>
      <c r="AA14" s="290">
        <v>0.8</v>
      </c>
      <c r="AB14" s="287">
        <v>0.8</v>
      </c>
      <c r="AC14" s="1"/>
      <c r="AD14" s="212">
        <f t="shared" si="0"/>
        <v>0.8450000000000002</v>
      </c>
      <c r="AE14" s="213">
        <f t="shared" si="1"/>
        <v>0.77000000000000024</v>
      </c>
      <c r="AF14" s="1"/>
      <c r="AG14" s="214">
        <f t="shared" si="2"/>
        <v>0.83000000000000018</v>
      </c>
    </row>
    <row r="15" spans="2:33" ht="30" customHeight="1" x14ac:dyDescent="0.25">
      <c r="B15" s="238">
        <v>5</v>
      </c>
      <c r="C15" s="239" t="s">
        <v>150</v>
      </c>
      <c r="D15" s="240" t="s">
        <v>151</v>
      </c>
      <c r="E15" s="239" t="s">
        <v>99</v>
      </c>
      <c r="F15" s="240" t="s">
        <v>99</v>
      </c>
      <c r="G15" s="241" t="s">
        <v>58</v>
      </c>
      <c r="H15" s="242" t="s">
        <v>152</v>
      </c>
      <c r="I15" s="243">
        <v>46447</v>
      </c>
      <c r="J15" s="244">
        <v>47118</v>
      </c>
      <c r="K15" s="245">
        <v>0.9</v>
      </c>
      <c r="L15" s="246">
        <v>0.5</v>
      </c>
      <c r="M15" s="247">
        <v>1</v>
      </c>
      <c r="N15" s="245">
        <v>0.8</v>
      </c>
      <c r="O15" s="248">
        <v>0.6</v>
      </c>
      <c r="P15" s="249">
        <v>0.5</v>
      </c>
      <c r="Q15" s="246">
        <v>0</v>
      </c>
      <c r="R15" s="245">
        <v>0.8</v>
      </c>
      <c r="S15" s="248">
        <v>0.8</v>
      </c>
      <c r="T15" s="252">
        <v>0.5</v>
      </c>
      <c r="U15" s="245">
        <v>1</v>
      </c>
      <c r="V15" s="248">
        <v>0.5</v>
      </c>
      <c r="W15" s="249">
        <v>1</v>
      </c>
      <c r="X15" s="248">
        <v>0</v>
      </c>
      <c r="Y15" s="249">
        <v>1</v>
      </c>
      <c r="Z15" s="248">
        <v>0</v>
      </c>
      <c r="AA15" s="249">
        <v>1</v>
      </c>
      <c r="AB15" s="246">
        <v>1</v>
      </c>
      <c r="AC15" s="1"/>
      <c r="AD15" s="215">
        <f t="shared" si="0"/>
        <v>0.81000000000000028</v>
      </c>
      <c r="AE15" s="216">
        <f t="shared" si="1"/>
        <v>0.55500000000000005</v>
      </c>
      <c r="AF15" s="1"/>
      <c r="AG15" s="132">
        <f t="shared" si="2"/>
        <v>0.75900000000000023</v>
      </c>
    </row>
    <row r="16" spans="2:33" ht="30" customHeight="1" x14ac:dyDescent="0.25">
      <c r="B16" s="266">
        <v>6</v>
      </c>
      <c r="C16" s="267" t="s">
        <v>150</v>
      </c>
      <c r="D16" s="268" t="s">
        <v>153</v>
      </c>
      <c r="E16" s="292" t="s">
        <v>154</v>
      </c>
      <c r="F16" s="268" t="s">
        <v>155</v>
      </c>
      <c r="G16" s="269" t="s">
        <v>58</v>
      </c>
      <c r="H16" s="270" t="s">
        <v>152</v>
      </c>
      <c r="I16" s="271">
        <v>46447</v>
      </c>
      <c r="J16" s="244">
        <v>47118</v>
      </c>
      <c r="K16" s="273">
        <v>0.7</v>
      </c>
      <c r="L16" s="274">
        <v>0.7</v>
      </c>
      <c r="M16" s="275">
        <v>1</v>
      </c>
      <c r="N16" s="273">
        <v>0.7</v>
      </c>
      <c r="O16" s="276">
        <v>0</v>
      </c>
      <c r="P16" s="277">
        <v>0</v>
      </c>
      <c r="Q16" s="274">
        <v>0</v>
      </c>
      <c r="R16" s="273">
        <v>0.7</v>
      </c>
      <c r="S16" s="276">
        <v>0.7</v>
      </c>
      <c r="T16" s="278">
        <v>1</v>
      </c>
      <c r="U16" s="273">
        <v>0.5</v>
      </c>
      <c r="V16" s="276">
        <v>0</v>
      </c>
      <c r="W16" s="277">
        <v>0</v>
      </c>
      <c r="X16" s="276">
        <v>0</v>
      </c>
      <c r="Y16" s="277">
        <v>1</v>
      </c>
      <c r="Z16" s="276">
        <v>0</v>
      </c>
      <c r="AA16" s="277">
        <v>0</v>
      </c>
      <c r="AB16" s="274">
        <v>0</v>
      </c>
      <c r="AC16" s="1"/>
      <c r="AD16" s="136">
        <f t="shared" si="0"/>
        <v>0.625</v>
      </c>
      <c r="AE16" s="137">
        <f t="shared" si="1"/>
        <v>0.40999999999999992</v>
      </c>
      <c r="AF16" s="1"/>
      <c r="AG16" s="138">
        <f t="shared" si="2"/>
        <v>0.58199999999999996</v>
      </c>
    </row>
    <row r="17" spans="2:33" ht="30" customHeight="1" x14ac:dyDescent="0.25">
      <c r="B17" s="279">
        <v>7</v>
      </c>
      <c r="C17" s="293" t="s">
        <v>83</v>
      </c>
      <c r="D17" s="294" t="s">
        <v>84</v>
      </c>
      <c r="E17" s="293" t="s">
        <v>85</v>
      </c>
      <c r="F17" s="294" t="s">
        <v>86</v>
      </c>
      <c r="G17" s="295" t="s">
        <v>58</v>
      </c>
      <c r="H17" s="296" t="s">
        <v>87</v>
      </c>
      <c r="I17" s="297">
        <v>46478</v>
      </c>
      <c r="J17" s="298">
        <v>47209</v>
      </c>
      <c r="K17" s="299">
        <v>1</v>
      </c>
      <c r="L17" s="300">
        <v>1</v>
      </c>
      <c r="M17" s="301">
        <v>0.8</v>
      </c>
      <c r="N17" s="302">
        <v>0.9</v>
      </c>
      <c r="O17" s="303">
        <v>0.9</v>
      </c>
      <c r="P17" s="304">
        <v>1</v>
      </c>
      <c r="Q17" s="300">
        <v>1</v>
      </c>
      <c r="R17" s="299">
        <v>1</v>
      </c>
      <c r="S17" s="303">
        <v>1</v>
      </c>
      <c r="T17" s="305">
        <v>1</v>
      </c>
      <c r="U17" s="299">
        <v>1</v>
      </c>
      <c r="V17" s="303">
        <v>1</v>
      </c>
      <c r="W17" s="304">
        <v>0.05</v>
      </c>
      <c r="X17" s="303">
        <v>0.05</v>
      </c>
      <c r="Y17" s="304">
        <v>0.5</v>
      </c>
      <c r="Z17" s="303">
        <v>0.5</v>
      </c>
      <c r="AA17" s="304">
        <v>0</v>
      </c>
      <c r="AB17" s="300">
        <v>0</v>
      </c>
      <c r="AC17" s="1"/>
      <c r="AD17" s="217">
        <f t="shared" si="0"/>
        <v>0.83750000000000013</v>
      </c>
      <c r="AE17" s="218">
        <f t="shared" si="1"/>
        <v>0.83750000000000013</v>
      </c>
      <c r="AF17" s="1"/>
      <c r="AG17" s="219">
        <f t="shared" si="2"/>
        <v>0.83750000000000013</v>
      </c>
    </row>
    <row r="18" spans="2:33" ht="30" customHeight="1" x14ac:dyDescent="0.25">
      <c r="B18" s="279">
        <v>8</v>
      </c>
      <c r="C18" s="254" t="s">
        <v>83</v>
      </c>
      <c r="D18" s="255" t="s">
        <v>88</v>
      </c>
      <c r="E18" s="254" t="s">
        <v>85</v>
      </c>
      <c r="F18" s="255" t="s">
        <v>86</v>
      </c>
      <c r="G18" s="256" t="s">
        <v>58</v>
      </c>
      <c r="H18" s="306" t="s">
        <v>89</v>
      </c>
      <c r="I18" s="307">
        <v>46478</v>
      </c>
      <c r="J18" s="308">
        <v>47209</v>
      </c>
      <c r="K18" s="260">
        <v>1</v>
      </c>
      <c r="L18" s="261">
        <v>1</v>
      </c>
      <c r="M18" s="262">
        <v>0.8</v>
      </c>
      <c r="N18" s="309">
        <v>0.9</v>
      </c>
      <c r="O18" s="263">
        <v>0.9</v>
      </c>
      <c r="P18" s="264">
        <v>1</v>
      </c>
      <c r="Q18" s="261">
        <v>1</v>
      </c>
      <c r="R18" s="260">
        <v>1</v>
      </c>
      <c r="S18" s="263">
        <v>1</v>
      </c>
      <c r="T18" s="265">
        <v>1</v>
      </c>
      <c r="U18" s="260">
        <v>1</v>
      </c>
      <c r="V18" s="263">
        <v>1</v>
      </c>
      <c r="W18" s="264">
        <v>0.05</v>
      </c>
      <c r="X18" s="263">
        <v>0.05</v>
      </c>
      <c r="Y18" s="264">
        <v>0.5</v>
      </c>
      <c r="Z18" s="263">
        <v>0.5</v>
      </c>
      <c r="AA18" s="264">
        <v>0</v>
      </c>
      <c r="AB18" s="261">
        <v>0</v>
      </c>
      <c r="AC18" s="1"/>
      <c r="AD18" s="133">
        <f t="shared" si="0"/>
        <v>0.83750000000000013</v>
      </c>
      <c r="AE18" s="134">
        <f t="shared" si="1"/>
        <v>0.83750000000000013</v>
      </c>
      <c r="AF18" s="1"/>
      <c r="AG18" s="135">
        <f t="shared" si="2"/>
        <v>0.83750000000000013</v>
      </c>
    </row>
    <row r="19" spans="2:33" ht="30" customHeight="1" x14ac:dyDescent="0.25">
      <c r="B19" s="238">
        <v>9</v>
      </c>
      <c r="C19" s="310" t="s">
        <v>83</v>
      </c>
      <c r="D19" s="311" t="s">
        <v>95</v>
      </c>
      <c r="E19" s="310" t="s">
        <v>85</v>
      </c>
      <c r="F19" s="311" t="s">
        <v>86</v>
      </c>
      <c r="G19" s="312" t="s">
        <v>58</v>
      </c>
      <c r="H19" s="313" t="s">
        <v>87</v>
      </c>
      <c r="I19" s="314">
        <v>46478</v>
      </c>
      <c r="J19" s="315">
        <v>47209</v>
      </c>
      <c r="K19" s="316">
        <v>1</v>
      </c>
      <c r="L19" s="317">
        <v>1</v>
      </c>
      <c r="M19" s="318">
        <v>0.8</v>
      </c>
      <c r="N19" s="319">
        <v>0.9</v>
      </c>
      <c r="O19" s="320">
        <v>0.9</v>
      </c>
      <c r="P19" s="321">
        <v>0.9</v>
      </c>
      <c r="Q19" s="317">
        <v>0.9</v>
      </c>
      <c r="R19" s="316">
        <v>1</v>
      </c>
      <c r="S19" s="320">
        <v>1</v>
      </c>
      <c r="T19" s="322">
        <v>1</v>
      </c>
      <c r="U19" s="316">
        <v>1</v>
      </c>
      <c r="V19" s="320">
        <v>1</v>
      </c>
      <c r="W19" s="321">
        <v>0.05</v>
      </c>
      <c r="X19" s="320">
        <v>0.05</v>
      </c>
      <c r="Y19" s="321">
        <v>0.5</v>
      </c>
      <c r="Z19" s="320">
        <v>0.5</v>
      </c>
      <c r="AA19" s="321">
        <v>0</v>
      </c>
      <c r="AB19" s="317">
        <v>0</v>
      </c>
      <c r="AC19" s="1"/>
      <c r="AD19" s="220">
        <f t="shared" si="0"/>
        <v>0.82750000000000012</v>
      </c>
      <c r="AE19" s="221">
        <f t="shared" si="1"/>
        <v>0.82750000000000012</v>
      </c>
      <c r="AF19" s="1"/>
      <c r="AG19" s="222">
        <f t="shared" si="2"/>
        <v>0.82750000000000012</v>
      </c>
    </row>
    <row r="20" spans="2:33" ht="30" customHeight="1" x14ac:dyDescent="0.25">
      <c r="B20" s="279">
        <v>10</v>
      </c>
      <c r="C20" s="239" t="s">
        <v>156</v>
      </c>
      <c r="D20" s="323" t="s">
        <v>157</v>
      </c>
      <c r="E20" s="239" t="s">
        <v>104</v>
      </c>
      <c r="F20" s="240" t="s">
        <v>105</v>
      </c>
      <c r="G20" s="241" t="s">
        <v>58</v>
      </c>
      <c r="H20" s="324" t="s">
        <v>158</v>
      </c>
      <c r="I20" s="325">
        <v>46507</v>
      </c>
      <c r="J20" s="326">
        <v>47238</v>
      </c>
      <c r="K20" s="245">
        <v>0.5</v>
      </c>
      <c r="L20" s="246">
        <v>1</v>
      </c>
      <c r="M20" s="247">
        <v>0</v>
      </c>
      <c r="N20" s="245">
        <v>0</v>
      </c>
      <c r="O20" s="248">
        <v>0</v>
      </c>
      <c r="P20" s="249">
        <v>0</v>
      </c>
      <c r="Q20" s="246">
        <v>0</v>
      </c>
      <c r="R20" s="245">
        <v>0.5</v>
      </c>
      <c r="S20" s="248">
        <v>0.5</v>
      </c>
      <c r="T20" s="252">
        <v>1</v>
      </c>
      <c r="U20" s="245">
        <v>1</v>
      </c>
      <c r="V20" s="248">
        <v>1</v>
      </c>
      <c r="W20" s="249">
        <v>0.5</v>
      </c>
      <c r="X20" s="248">
        <v>0.5</v>
      </c>
      <c r="Y20" s="249">
        <v>0.5</v>
      </c>
      <c r="Z20" s="248">
        <v>0.5</v>
      </c>
      <c r="AA20" s="249">
        <v>0</v>
      </c>
      <c r="AB20" s="246">
        <v>0</v>
      </c>
      <c r="AC20" s="1"/>
      <c r="AD20" s="215">
        <f t="shared" si="0"/>
        <v>0.35000000000000003</v>
      </c>
      <c r="AE20" s="216">
        <f t="shared" si="1"/>
        <v>0.40000000000000008</v>
      </c>
      <c r="AF20" s="1"/>
      <c r="AG20" s="132">
        <f t="shared" si="2"/>
        <v>0.36000000000000004</v>
      </c>
    </row>
    <row r="21" spans="2:33" ht="30" customHeight="1" x14ac:dyDescent="0.25">
      <c r="B21" s="238">
        <v>11</v>
      </c>
      <c r="C21" s="254" t="s">
        <v>156</v>
      </c>
      <c r="D21" s="327" t="s">
        <v>159</v>
      </c>
      <c r="E21" s="254" t="s">
        <v>104</v>
      </c>
      <c r="F21" s="255" t="s">
        <v>105</v>
      </c>
      <c r="G21" s="256" t="s">
        <v>58</v>
      </c>
      <c r="H21" s="328" t="s">
        <v>158</v>
      </c>
      <c r="I21" s="329">
        <v>46507</v>
      </c>
      <c r="J21" s="330">
        <v>47238</v>
      </c>
      <c r="K21" s="260">
        <v>0.5</v>
      </c>
      <c r="L21" s="261">
        <v>0.5</v>
      </c>
      <c r="M21" s="262">
        <v>0</v>
      </c>
      <c r="N21" s="260">
        <v>0</v>
      </c>
      <c r="O21" s="263">
        <v>0</v>
      </c>
      <c r="P21" s="264">
        <v>0</v>
      </c>
      <c r="Q21" s="261">
        <v>0</v>
      </c>
      <c r="R21" s="260">
        <v>0.5</v>
      </c>
      <c r="S21" s="263">
        <v>0.5</v>
      </c>
      <c r="T21" s="265">
        <v>1</v>
      </c>
      <c r="U21" s="260">
        <v>1</v>
      </c>
      <c r="V21" s="263">
        <v>1</v>
      </c>
      <c r="W21" s="264">
        <v>0.5</v>
      </c>
      <c r="X21" s="263">
        <v>0.5</v>
      </c>
      <c r="Y21" s="264">
        <v>0</v>
      </c>
      <c r="Z21" s="263">
        <v>0</v>
      </c>
      <c r="AA21" s="264">
        <v>0.5</v>
      </c>
      <c r="AB21" s="261">
        <v>0.5</v>
      </c>
      <c r="AC21" s="1"/>
      <c r="AD21" s="133">
        <f t="shared" si="0"/>
        <v>0.35000000000000003</v>
      </c>
      <c r="AE21" s="134">
        <f t="shared" si="1"/>
        <v>0.35000000000000003</v>
      </c>
      <c r="AF21" s="1"/>
      <c r="AG21" s="135">
        <f t="shared" si="2"/>
        <v>0.35000000000000003</v>
      </c>
    </row>
    <row r="22" spans="2:33" ht="30" customHeight="1" x14ac:dyDescent="0.25">
      <c r="B22" s="266">
        <v>12</v>
      </c>
      <c r="C22" s="267" t="s">
        <v>156</v>
      </c>
      <c r="D22" s="331" t="s">
        <v>160</v>
      </c>
      <c r="E22" s="267" t="s">
        <v>104</v>
      </c>
      <c r="F22" s="268" t="s">
        <v>105</v>
      </c>
      <c r="G22" s="269" t="s">
        <v>58</v>
      </c>
      <c r="H22" s="332" t="s">
        <v>158</v>
      </c>
      <c r="I22" s="333">
        <v>46507</v>
      </c>
      <c r="J22" s="334">
        <v>47238</v>
      </c>
      <c r="K22" s="273">
        <v>0.5</v>
      </c>
      <c r="L22" s="274">
        <v>1</v>
      </c>
      <c r="M22" s="275">
        <v>0</v>
      </c>
      <c r="N22" s="273">
        <v>0.6</v>
      </c>
      <c r="O22" s="276">
        <v>0.6</v>
      </c>
      <c r="P22" s="277">
        <v>0</v>
      </c>
      <c r="Q22" s="274">
        <v>0</v>
      </c>
      <c r="R22" s="273">
        <v>0.6</v>
      </c>
      <c r="S22" s="276">
        <v>0.6</v>
      </c>
      <c r="T22" s="278">
        <v>1</v>
      </c>
      <c r="U22" s="273">
        <v>1</v>
      </c>
      <c r="V22" s="276">
        <v>1</v>
      </c>
      <c r="W22" s="277">
        <v>0.5</v>
      </c>
      <c r="X22" s="276">
        <v>0.5</v>
      </c>
      <c r="Y22" s="277">
        <v>0</v>
      </c>
      <c r="Z22" s="276">
        <v>0</v>
      </c>
      <c r="AA22" s="277">
        <v>0.5</v>
      </c>
      <c r="AB22" s="274">
        <v>0.5</v>
      </c>
      <c r="AC22" s="1"/>
      <c r="AD22" s="136">
        <f t="shared" si="0"/>
        <v>0.49000000000000005</v>
      </c>
      <c r="AE22" s="137">
        <f t="shared" si="1"/>
        <v>0.53999999999999992</v>
      </c>
      <c r="AF22" s="1"/>
      <c r="AG22" s="138">
        <f t="shared" si="2"/>
        <v>0.5</v>
      </c>
    </row>
    <row r="23" spans="2:33" ht="30" customHeight="1" x14ac:dyDescent="0.25">
      <c r="B23" s="279">
        <v>13</v>
      </c>
      <c r="C23" s="293" t="s">
        <v>67</v>
      </c>
      <c r="D23" s="294" t="s">
        <v>68</v>
      </c>
      <c r="E23" s="293" t="s">
        <v>69</v>
      </c>
      <c r="F23" s="294" t="s">
        <v>70</v>
      </c>
      <c r="G23" s="295" t="s">
        <v>58</v>
      </c>
      <c r="H23" s="335" t="s">
        <v>71</v>
      </c>
      <c r="I23" s="336">
        <v>46388</v>
      </c>
      <c r="J23" s="337">
        <v>46935</v>
      </c>
      <c r="K23" s="302">
        <v>1</v>
      </c>
      <c r="L23" s="338">
        <v>0.9</v>
      </c>
      <c r="M23" s="339">
        <v>1</v>
      </c>
      <c r="N23" s="299">
        <v>1</v>
      </c>
      <c r="O23" s="303">
        <v>1</v>
      </c>
      <c r="P23" s="340">
        <v>0.9</v>
      </c>
      <c r="Q23" s="338">
        <v>0.9</v>
      </c>
      <c r="R23" s="302">
        <v>1</v>
      </c>
      <c r="S23" s="341">
        <v>1</v>
      </c>
      <c r="T23" s="342">
        <v>1</v>
      </c>
      <c r="U23" s="302">
        <v>1</v>
      </c>
      <c r="V23" s="341">
        <v>1</v>
      </c>
      <c r="W23" s="340">
        <v>0.5</v>
      </c>
      <c r="X23" s="341">
        <v>0.5</v>
      </c>
      <c r="Y23" s="340">
        <v>1</v>
      </c>
      <c r="Z23" s="341">
        <v>1</v>
      </c>
      <c r="AA23" s="340">
        <v>0.5</v>
      </c>
      <c r="AB23" s="338">
        <v>0.5</v>
      </c>
      <c r="AC23" s="1"/>
      <c r="AD23" s="223">
        <f t="shared" si="0"/>
        <v>0.94000000000000017</v>
      </c>
      <c r="AE23" s="224">
        <f t="shared" si="1"/>
        <v>0.93000000000000016</v>
      </c>
      <c r="AF23" s="1"/>
      <c r="AG23" s="225">
        <f t="shared" si="2"/>
        <v>0.93800000000000028</v>
      </c>
    </row>
    <row r="24" spans="2:33" ht="30" customHeight="1" x14ac:dyDescent="0.25">
      <c r="B24" s="279">
        <v>14</v>
      </c>
      <c r="C24" s="254" t="s">
        <v>67</v>
      </c>
      <c r="D24" s="255" t="s">
        <v>113</v>
      </c>
      <c r="E24" s="254" t="s">
        <v>114</v>
      </c>
      <c r="F24" s="255" t="s">
        <v>99</v>
      </c>
      <c r="G24" s="256" t="s">
        <v>58</v>
      </c>
      <c r="H24" s="257" t="s">
        <v>115</v>
      </c>
      <c r="I24" s="258">
        <v>46507</v>
      </c>
      <c r="J24" s="259">
        <v>47088</v>
      </c>
      <c r="K24" s="309">
        <v>0.8</v>
      </c>
      <c r="L24" s="343">
        <v>0.8</v>
      </c>
      <c r="M24" s="344">
        <v>1</v>
      </c>
      <c r="N24" s="260">
        <v>0.8</v>
      </c>
      <c r="O24" s="263">
        <v>0.8</v>
      </c>
      <c r="P24" s="345">
        <v>1</v>
      </c>
      <c r="Q24" s="343">
        <v>1</v>
      </c>
      <c r="R24" s="309">
        <v>0.8</v>
      </c>
      <c r="S24" s="346">
        <v>0.8</v>
      </c>
      <c r="T24" s="347">
        <v>0.2</v>
      </c>
      <c r="U24" s="309">
        <v>0.5</v>
      </c>
      <c r="V24" s="346">
        <v>0.5</v>
      </c>
      <c r="W24" s="345">
        <v>1</v>
      </c>
      <c r="X24" s="346">
        <v>1</v>
      </c>
      <c r="Y24" s="345">
        <v>1</v>
      </c>
      <c r="Z24" s="346">
        <v>1</v>
      </c>
      <c r="AA24" s="345">
        <v>0.5</v>
      </c>
      <c r="AB24" s="343">
        <v>0.5</v>
      </c>
      <c r="AC24" s="1"/>
      <c r="AD24" s="226">
        <f t="shared" si="0"/>
        <v>0.77000000000000024</v>
      </c>
      <c r="AE24" s="227">
        <f t="shared" si="1"/>
        <v>0.77000000000000024</v>
      </c>
      <c r="AF24" s="1"/>
      <c r="AG24" s="228">
        <f t="shared" si="2"/>
        <v>0.77000000000000024</v>
      </c>
    </row>
    <row r="25" spans="2:33" ht="30" customHeight="1" x14ac:dyDescent="0.25">
      <c r="B25" s="238">
        <v>15</v>
      </c>
      <c r="C25" s="254" t="s">
        <v>67</v>
      </c>
      <c r="D25" s="255" t="s">
        <v>161</v>
      </c>
      <c r="E25" s="254" t="s">
        <v>162</v>
      </c>
      <c r="F25" s="255" t="s">
        <v>163</v>
      </c>
      <c r="G25" s="256" t="s">
        <v>109</v>
      </c>
      <c r="H25" s="348" t="s">
        <v>158</v>
      </c>
      <c r="I25" s="258">
        <v>46507</v>
      </c>
      <c r="J25" s="259">
        <v>47300</v>
      </c>
      <c r="K25" s="309">
        <v>1</v>
      </c>
      <c r="L25" s="343">
        <v>0.5</v>
      </c>
      <c r="M25" s="344">
        <v>0.9</v>
      </c>
      <c r="N25" s="260">
        <v>0.5</v>
      </c>
      <c r="O25" s="263">
        <v>0</v>
      </c>
      <c r="P25" s="345">
        <v>0</v>
      </c>
      <c r="Q25" s="343">
        <v>0</v>
      </c>
      <c r="R25" s="309">
        <v>0.05</v>
      </c>
      <c r="S25" s="346">
        <v>0.5</v>
      </c>
      <c r="T25" s="347">
        <v>1</v>
      </c>
      <c r="U25" s="309">
        <v>0</v>
      </c>
      <c r="V25" s="346">
        <v>0</v>
      </c>
      <c r="W25" s="345">
        <v>0</v>
      </c>
      <c r="X25" s="346">
        <v>0</v>
      </c>
      <c r="Y25" s="345">
        <v>0</v>
      </c>
      <c r="Z25" s="346">
        <v>0</v>
      </c>
      <c r="AA25" s="345">
        <v>0</v>
      </c>
      <c r="AB25" s="343">
        <v>0</v>
      </c>
      <c r="AC25" s="1"/>
      <c r="AD25" s="226">
        <f t="shared" si="0"/>
        <v>0.4</v>
      </c>
      <c r="AE25" s="227">
        <f t="shared" si="1"/>
        <v>0.34</v>
      </c>
      <c r="AF25" s="1"/>
      <c r="AG25" s="228">
        <f t="shared" si="2"/>
        <v>0.38800000000000007</v>
      </c>
    </row>
    <row r="26" spans="2:33" ht="30" customHeight="1" x14ac:dyDescent="0.25">
      <c r="B26" s="279">
        <v>16</v>
      </c>
      <c r="C26" s="254" t="s">
        <v>67</v>
      </c>
      <c r="D26" s="255" t="s">
        <v>164</v>
      </c>
      <c r="E26" s="254" t="s">
        <v>165</v>
      </c>
      <c r="F26" s="255" t="s">
        <v>166</v>
      </c>
      <c r="G26" s="256" t="s">
        <v>58</v>
      </c>
      <c r="H26" s="257" t="s">
        <v>115</v>
      </c>
      <c r="I26" s="258">
        <v>46507</v>
      </c>
      <c r="J26" s="259">
        <v>47058</v>
      </c>
      <c r="K26" s="309">
        <v>1</v>
      </c>
      <c r="L26" s="343">
        <v>0</v>
      </c>
      <c r="M26" s="349">
        <v>1</v>
      </c>
      <c r="N26" s="260">
        <v>0.8</v>
      </c>
      <c r="O26" s="263">
        <v>0.8</v>
      </c>
      <c r="P26" s="345">
        <v>0</v>
      </c>
      <c r="Q26" s="343">
        <v>0</v>
      </c>
      <c r="R26" s="309">
        <v>1</v>
      </c>
      <c r="S26" s="346">
        <v>1</v>
      </c>
      <c r="T26" s="347">
        <v>0.2</v>
      </c>
      <c r="U26" s="309">
        <v>0.5</v>
      </c>
      <c r="V26" s="346">
        <v>0.5</v>
      </c>
      <c r="W26" s="345">
        <v>1</v>
      </c>
      <c r="X26" s="346">
        <v>1</v>
      </c>
      <c r="Y26" s="345">
        <v>1</v>
      </c>
      <c r="Z26" s="346">
        <v>1</v>
      </c>
      <c r="AA26" s="345">
        <v>0.5</v>
      </c>
      <c r="AB26" s="343">
        <v>0.5</v>
      </c>
      <c r="AC26" s="1"/>
      <c r="AD26" s="226">
        <f t="shared" si="0"/>
        <v>0.7300000000000002</v>
      </c>
      <c r="AE26" s="227">
        <f t="shared" si="1"/>
        <v>0.63000000000000012</v>
      </c>
      <c r="AF26" s="1"/>
      <c r="AG26" s="228">
        <f t="shared" si="2"/>
        <v>0.71000000000000019</v>
      </c>
    </row>
    <row r="27" spans="2:33" ht="30" customHeight="1" x14ac:dyDescent="0.25">
      <c r="B27" s="238">
        <v>17</v>
      </c>
      <c r="C27" s="310" t="s">
        <v>67</v>
      </c>
      <c r="D27" s="311" t="s">
        <v>167</v>
      </c>
      <c r="E27" s="310" t="s">
        <v>168</v>
      </c>
      <c r="F27" s="311" t="s">
        <v>166</v>
      </c>
      <c r="G27" s="312" t="s">
        <v>58</v>
      </c>
      <c r="H27" s="350" t="s">
        <v>169</v>
      </c>
      <c r="I27" s="368">
        <v>46507</v>
      </c>
      <c r="J27" s="351">
        <v>47058</v>
      </c>
      <c r="K27" s="319">
        <v>1</v>
      </c>
      <c r="L27" s="352">
        <v>0.5</v>
      </c>
      <c r="M27" s="349">
        <v>1</v>
      </c>
      <c r="N27" s="316">
        <v>0.7</v>
      </c>
      <c r="O27" s="320">
        <v>0.7</v>
      </c>
      <c r="P27" s="353">
        <v>0</v>
      </c>
      <c r="Q27" s="352">
        <v>0</v>
      </c>
      <c r="R27" s="319">
        <v>1</v>
      </c>
      <c r="S27" s="354">
        <v>1</v>
      </c>
      <c r="T27" s="355">
        <v>0.2</v>
      </c>
      <c r="U27" s="319">
        <v>0.5</v>
      </c>
      <c r="V27" s="354">
        <v>0.5</v>
      </c>
      <c r="W27" s="353">
        <v>1</v>
      </c>
      <c r="X27" s="354">
        <v>1</v>
      </c>
      <c r="Y27" s="353">
        <v>1</v>
      </c>
      <c r="Z27" s="354">
        <v>1</v>
      </c>
      <c r="AA27" s="353">
        <v>0.5</v>
      </c>
      <c r="AB27" s="352">
        <v>0.5</v>
      </c>
      <c r="AC27" s="1"/>
      <c r="AD27" s="229">
        <f t="shared" si="0"/>
        <v>0.71000000000000019</v>
      </c>
      <c r="AE27" s="230">
        <f t="shared" si="1"/>
        <v>0.66000000000000014</v>
      </c>
      <c r="AF27" s="1"/>
      <c r="AG27" s="231">
        <f t="shared" si="2"/>
        <v>0.70000000000000018</v>
      </c>
    </row>
    <row r="28" spans="2:33" ht="30" customHeight="1" x14ac:dyDescent="0.25">
      <c r="B28" s="266">
        <v>18</v>
      </c>
      <c r="C28" s="356" t="s">
        <v>62</v>
      </c>
      <c r="D28" s="357" t="s">
        <v>63</v>
      </c>
      <c r="E28" s="357" t="s">
        <v>64</v>
      </c>
      <c r="F28" s="357" t="s">
        <v>65</v>
      </c>
      <c r="G28" s="358" t="s">
        <v>58</v>
      </c>
      <c r="H28" s="359" t="s">
        <v>66</v>
      </c>
      <c r="I28" s="360">
        <v>46447</v>
      </c>
      <c r="J28" s="361">
        <v>46843</v>
      </c>
      <c r="K28" s="362">
        <v>0.95</v>
      </c>
      <c r="L28" s="363">
        <v>0.5</v>
      </c>
      <c r="M28" s="364">
        <v>0.9</v>
      </c>
      <c r="N28" s="362">
        <v>0.9</v>
      </c>
      <c r="O28" s="365">
        <v>0.9</v>
      </c>
      <c r="P28" s="366">
        <v>1</v>
      </c>
      <c r="Q28" s="363">
        <v>1</v>
      </c>
      <c r="R28" s="362">
        <v>0.9</v>
      </c>
      <c r="S28" s="365">
        <v>0.9</v>
      </c>
      <c r="T28" s="367">
        <v>1</v>
      </c>
      <c r="U28" s="362">
        <v>1</v>
      </c>
      <c r="V28" s="365">
        <v>0.8</v>
      </c>
      <c r="W28" s="366">
        <v>1</v>
      </c>
      <c r="X28" s="365">
        <v>1</v>
      </c>
      <c r="Y28" s="366">
        <v>0.8</v>
      </c>
      <c r="Z28" s="365">
        <v>0.8</v>
      </c>
      <c r="AA28" s="366">
        <v>0.6</v>
      </c>
      <c r="AB28" s="363">
        <v>0.6</v>
      </c>
      <c r="AC28" s="1"/>
      <c r="AD28" s="232">
        <f t="shared" si="0"/>
        <v>0.91500000000000015</v>
      </c>
      <c r="AE28" s="233">
        <f t="shared" si="1"/>
        <v>0.86000000000000021</v>
      </c>
      <c r="AF28" s="1"/>
      <c r="AG28" s="234">
        <f t="shared" si="2"/>
        <v>0.90400000000000025</v>
      </c>
    </row>
    <row r="29" spans="2:33" ht="30" customHeight="1" x14ac:dyDescent="0.25">
      <c r="B29" s="279">
        <v>19</v>
      </c>
      <c r="C29" s="293" t="s">
        <v>170</v>
      </c>
      <c r="D29" s="294" t="s">
        <v>171</v>
      </c>
      <c r="E29" s="293" t="s">
        <v>172</v>
      </c>
      <c r="F29" s="294" t="s">
        <v>76</v>
      </c>
      <c r="G29" s="295" t="s">
        <v>58</v>
      </c>
      <c r="H29" s="335" t="s">
        <v>173</v>
      </c>
      <c r="I29" s="336">
        <v>46452</v>
      </c>
      <c r="J29" s="337">
        <v>47238</v>
      </c>
      <c r="K29" s="299">
        <v>1</v>
      </c>
      <c r="L29" s="300">
        <v>0.5</v>
      </c>
      <c r="M29" s="301">
        <v>0.8</v>
      </c>
      <c r="N29" s="299">
        <v>0</v>
      </c>
      <c r="O29" s="303">
        <v>0</v>
      </c>
      <c r="P29" s="304">
        <v>0</v>
      </c>
      <c r="Q29" s="300">
        <v>0</v>
      </c>
      <c r="R29" s="299">
        <v>0</v>
      </c>
      <c r="S29" s="303">
        <v>0</v>
      </c>
      <c r="T29" s="305">
        <v>1</v>
      </c>
      <c r="U29" s="299">
        <v>0.5</v>
      </c>
      <c r="V29" s="303">
        <v>0.5</v>
      </c>
      <c r="W29" s="304">
        <v>0</v>
      </c>
      <c r="X29" s="303">
        <v>0</v>
      </c>
      <c r="Y29" s="304">
        <v>0</v>
      </c>
      <c r="Z29" s="303">
        <v>0</v>
      </c>
      <c r="AA29" s="304">
        <v>0</v>
      </c>
      <c r="AB29" s="300">
        <v>0</v>
      </c>
      <c r="AC29" s="1"/>
      <c r="AD29" s="217">
        <f t="shared" si="0"/>
        <v>0.30500000000000005</v>
      </c>
      <c r="AE29" s="218">
        <f t="shared" si="1"/>
        <v>0.255</v>
      </c>
      <c r="AF29" s="1"/>
      <c r="AG29" s="219">
        <f t="shared" si="2"/>
        <v>0.29500000000000004</v>
      </c>
    </row>
    <row r="30" spans="2:33" ht="30" customHeight="1" x14ac:dyDescent="0.25">
      <c r="B30" s="279">
        <v>20</v>
      </c>
      <c r="C30" s="254" t="s">
        <v>170</v>
      </c>
      <c r="D30" s="255" t="s">
        <v>174</v>
      </c>
      <c r="E30" s="254" t="s">
        <v>75</v>
      </c>
      <c r="F30" s="255" t="s">
        <v>76</v>
      </c>
      <c r="G30" s="256" t="s">
        <v>58</v>
      </c>
      <c r="H30" s="257" t="s">
        <v>175</v>
      </c>
      <c r="I30" s="258">
        <v>46461</v>
      </c>
      <c r="J30" s="259">
        <v>47057</v>
      </c>
      <c r="K30" s="260">
        <v>0.95</v>
      </c>
      <c r="L30" s="261">
        <v>0.8</v>
      </c>
      <c r="M30" s="262">
        <v>1</v>
      </c>
      <c r="N30" s="260">
        <v>0</v>
      </c>
      <c r="O30" s="263">
        <v>0</v>
      </c>
      <c r="P30" s="264">
        <v>0</v>
      </c>
      <c r="Q30" s="261">
        <v>0</v>
      </c>
      <c r="R30" s="260">
        <v>0</v>
      </c>
      <c r="S30" s="263">
        <v>0</v>
      </c>
      <c r="T30" s="265">
        <v>1</v>
      </c>
      <c r="U30" s="260">
        <v>0</v>
      </c>
      <c r="V30" s="263">
        <v>0</v>
      </c>
      <c r="W30" s="264">
        <v>0</v>
      </c>
      <c r="X30" s="263">
        <v>0</v>
      </c>
      <c r="Y30" s="264">
        <v>0</v>
      </c>
      <c r="Z30" s="263">
        <v>0</v>
      </c>
      <c r="AA30" s="264">
        <v>0</v>
      </c>
      <c r="AB30" s="261">
        <v>0</v>
      </c>
      <c r="AC30" s="1"/>
      <c r="AD30" s="133">
        <f t="shared" si="0"/>
        <v>0.29500000000000004</v>
      </c>
      <c r="AE30" s="134">
        <f t="shared" si="1"/>
        <v>0.28000000000000003</v>
      </c>
      <c r="AF30" s="1"/>
      <c r="AG30" s="135">
        <f t="shared" si="2"/>
        <v>0.29200000000000004</v>
      </c>
    </row>
    <row r="31" spans="2:33" ht="30" customHeight="1" x14ac:dyDescent="0.25">
      <c r="B31" s="238">
        <v>21</v>
      </c>
      <c r="C31" s="310" t="s">
        <v>170</v>
      </c>
      <c r="D31" s="311" t="s">
        <v>176</v>
      </c>
      <c r="E31" s="311" t="s">
        <v>99</v>
      </c>
      <c r="F31" s="311" t="s">
        <v>99</v>
      </c>
      <c r="G31" s="312" t="s">
        <v>58</v>
      </c>
      <c r="H31" s="350" t="s">
        <v>177</v>
      </c>
      <c r="I31" s="368">
        <v>46461</v>
      </c>
      <c r="J31" s="351">
        <v>47238</v>
      </c>
      <c r="K31" s="316">
        <v>1</v>
      </c>
      <c r="L31" s="317">
        <v>0.8</v>
      </c>
      <c r="M31" s="318">
        <v>0.8</v>
      </c>
      <c r="N31" s="316">
        <v>0.6</v>
      </c>
      <c r="O31" s="320">
        <v>0</v>
      </c>
      <c r="P31" s="321">
        <v>0</v>
      </c>
      <c r="Q31" s="317">
        <v>0</v>
      </c>
      <c r="R31" s="316">
        <v>0</v>
      </c>
      <c r="S31" s="320">
        <v>0</v>
      </c>
      <c r="T31" s="322">
        <v>0</v>
      </c>
      <c r="U31" s="316">
        <v>0</v>
      </c>
      <c r="V31" s="320">
        <v>0</v>
      </c>
      <c r="W31" s="321">
        <v>0</v>
      </c>
      <c r="X31" s="320">
        <v>0</v>
      </c>
      <c r="Y31" s="321">
        <v>0</v>
      </c>
      <c r="Z31" s="320">
        <v>0</v>
      </c>
      <c r="AA31" s="321">
        <v>0</v>
      </c>
      <c r="AB31" s="317">
        <v>0</v>
      </c>
      <c r="AC31" s="1"/>
      <c r="AD31" s="220">
        <f t="shared" si="0"/>
        <v>0.30000000000000004</v>
      </c>
      <c r="AE31" s="221">
        <f t="shared" si="1"/>
        <v>0.16000000000000003</v>
      </c>
      <c r="AF31" s="1"/>
      <c r="AG31" s="222">
        <f t="shared" si="2"/>
        <v>0.27200000000000008</v>
      </c>
    </row>
    <row r="32" spans="2:33" ht="30" customHeight="1" x14ac:dyDescent="0.25">
      <c r="B32" s="279">
        <v>22</v>
      </c>
      <c r="C32" s="239" t="s">
        <v>54</v>
      </c>
      <c r="D32" s="240" t="s">
        <v>178</v>
      </c>
      <c r="E32" s="239" t="s">
        <v>179</v>
      </c>
      <c r="F32" s="240" t="s">
        <v>166</v>
      </c>
      <c r="G32" s="241" t="s">
        <v>58</v>
      </c>
      <c r="H32" s="242" t="s">
        <v>180</v>
      </c>
      <c r="I32" s="243">
        <v>46356</v>
      </c>
      <c r="J32" s="244">
        <v>47208</v>
      </c>
      <c r="K32" s="245">
        <v>1</v>
      </c>
      <c r="L32" s="246">
        <v>0.75</v>
      </c>
      <c r="M32" s="247">
        <v>1</v>
      </c>
      <c r="N32" s="245">
        <v>0.9</v>
      </c>
      <c r="O32" s="248">
        <v>0.8</v>
      </c>
      <c r="P32" s="249">
        <v>0.5</v>
      </c>
      <c r="Q32" s="246">
        <v>0.5</v>
      </c>
      <c r="R32" s="245">
        <v>1</v>
      </c>
      <c r="S32" s="248">
        <v>1</v>
      </c>
      <c r="T32" s="252">
        <v>0.2</v>
      </c>
      <c r="U32" s="245">
        <v>0.6</v>
      </c>
      <c r="V32" s="248">
        <v>0.6</v>
      </c>
      <c r="W32" s="249">
        <v>1</v>
      </c>
      <c r="X32" s="248">
        <v>1</v>
      </c>
      <c r="Y32" s="249">
        <v>1</v>
      </c>
      <c r="Z32" s="248">
        <v>1</v>
      </c>
      <c r="AA32" s="249">
        <v>1</v>
      </c>
      <c r="AB32" s="246">
        <v>1</v>
      </c>
      <c r="AC32" s="1"/>
      <c r="AD32" s="215">
        <f t="shared" si="0"/>
        <v>0.83000000000000018</v>
      </c>
      <c r="AE32" s="216">
        <f t="shared" si="1"/>
        <v>0.78500000000000025</v>
      </c>
      <c r="AF32" s="1"/>
      <c r="AG32" s="132">
        <f t="shared" si="2"/>
        <v>0.82100000000000017</v>
      </c>
    </row>
    <row r="33" spans="2:33" ht="30" customHeight="1" x14ac:dyDescent="0.25">
      <c r="B33" s="238">
        <v>23</v>
      </c>
      <c r="C33" s="254" t="s">
        <v>54</v>
      </c>
      <c r="D33" s="255" t="s">
        <v>116</v>
      </c>
      <c r="E33" s="255" t="s">
        <v>117</v>
      </c>
      <c r="F33" s="255" t="s">
        <v>118</v>
      </c>
      <c r="G33" s="256" t="s">
        <v>58</v>
      </c>
      <c r="H33" s="257" t="s">
        <v>526</v>
      </c>
      <c r="I33" s="258">
        <v>46356</v>
      </c>
      <c r="J33" s="259">
        <v>47360</v>
      </c>
      <c r="K33" s="260">
        <v>1</v>
      </c>
      <c r="L33" s="261">
        <v>0.75</v>
      </c>
      <c r="M33" s="262">
        <v>0.9</v>
      </c>
      <c r="N33" s="245">
        <v>0.8</v>
      </c>
      <c r="O33" s="248">
        <v>0.8</v>
      </c>
      <c r="P33" s="264">
        <v>1</v>
      </c>
      <c r="Q33" s="261">
        <v>0</v>
      </c>
      <c r="R33" s="260">
        <v>0.8</v>
      </c>
      <c r="S33" s="263">
        <v>0.8</v>
      </c>
      <c r="T33" s="265">
        <v>0.2</v>
      </c>
      <c r="U33" s="260">
        <v>0.8</v>
      </c>
      <c r="V33" s="263">
        <v>0</v>
      </c>
      <c r="W33" s="264">
        <v>0.8</v>
      </c>
      <c r="X33" s="263">
        <v>0.8</v>
      </c>
      <c r="Y33" s="264">
        <v>0.5</v>
      </c>
      <c r="Z33" s="263">
        <v>0.5</v>
      </c>
      <c r="AA33" s="264">
        <v>0.5</v>
      </c>
      <c r="AB33" s="261">
        <v>0.5</v>
      </c>
      <c r="AC33" s="1"/>
      <c r="AD33" s="133">
        <f t="shared" si="0"/>
        <v>0.76000000000000023</v>
      </c>
      <c r="AE33" s="134">
        <f t="shared" si="1"/>
        <v>0.5950000000000002</v>
      </c>
      <c r="AF33" s="1"/>
      <c r="AG33" s="135">
        <f t="shared" si="2"/>
        <v>0.72700000000000031</v>
      </c>
    </row>
    <row r="34" spans="2:33" ht="30" customHeight="1" x14ac:dyDescent="0.25">
      <c r="B34" s="266">
        <v>24</v>
      </c>
      <c r="C34" s="267" t="s">
        <v>54</v>
      </c>
      <c r="D34" s="268" t="s">
        <v>55</v>
      </c>
      <c r="E34" s="267" t="s">
        <v>56</v>
      </c>
      <c r="F34" s="268" t="s">
        <v>57</v>
      </c>
      <c r="G34" s="269" t="s">
        <v>58</v>
      </c>
      <c r="H34" s="270" t="s">
        <v>59</v>
      </c>
      <c r="I34" s="271">
        <v>46341</v>
      </c>
      <c r="J34" s="272">
        <v>47118</v>
      </c>
      <c r="K34" s="273">
        <v>1</v>
      </c>
      <c r="L34" s="274">
        <v>0.9</v>
      </c>
      <c r="M34" s="275">
        <v>0.9</v>
      </c>
      <c r="N34" s="273">
        <v>1</v>
      </c>
      <c r="O34" s="276">
        <v>1</v>
      </c>
      <c r="P34" s="277">
        <v>1</v>
      </c>
      <c r="Q34" s="274">
        <v>1</v>
      </c>
      <c r="R34" s="273">
        <v>1</v>
      </c>
      <c r="S34" s="276">
        <v>1</v>
      </c>
      <c r="T34" s="278">
        <v>1</v>
      </c>
      <c r="U34" s="273">
        <v>1</v>
      </c>
      <c r="V34" s="276">
        <v>1</v>
      </c>
      <c r="W34" s="277">
        <v>0.5</v>
      </c>
      <c r="X34" s="276">
        <v>0.5</v>
      </c>
      <c r="Y34" s="277">
        <v>1</v>
      </c>
      <c r="Z34" s="276">
        <v>1</v>
      </c>
      <c r="AA34" s="277">
        <v>0.5</v>
      </c>
      <c r="AB34" s="274">
        <v>0.5</v>
      </c>
      <c r="AC34" s="1"/>
      <c r="AD34" s="136">
        <f t="shared" si="0"/>
        <v>0.94000000000000006</v>
      </c>
      <c r="AE34" s="137">
        <f t="shared" si="1"/>
        <v>0.93</v>
      </c>
      <c r="AF34" s="1"/>
      <c r="AG34" s="138">
        <f t="shared" si="2"/>
        <v>0.93800000000000017</v>
      </c>
    </row>
    <row r="35" spans="2:33" ht="30" customHeight="1" x14ac:dyDescent="0.25">
      <c r="B35" s="279">
        <v>25</v>
      </c>
      <c r="C35" s="293" t="s">
        <v>181</v>
      </c>
      <c r="D35" s="294" t="s">
        <v>182</v>
      </c>
      <c r="E35" s="293" t="s">
        <v>183</v>
      </c>
      <c r="F35" s="294" t="s">
        <v>86</v>
      </c>
      <c r="G35" s="295" t="s">
        <v>109</v>
      </c>
      <c r="H35" s="335" t="s">
        <v>184</v>
      </c>
      <c r="I35" s="336">
        <v>46478</v>
      </c>
      <c r="J35" s="337">
        <v>47209</v>
      </c>
      <c r="K35" s="299">
        <v>1</v>
      </c>
      <c r="L35" s="300">
        <v>1</v>
      </c>
      <c r="M35" s="301">
        <v>0.5</v>
      </c>
      <c r="N35" s="299">
        <v>0.5</v>
      </c>
      <c r="O35" s="303">
        <v>0</v>
      </c>
      <c r="P35" s="304">
        <v>0</v>
      </c>
      <c r="Q35" s="300">
        <v>0</v>
      </c>
      <c r="R35" s="299">
        <v>0.7</v>
      </c>
      <c r="S35" s="303">
        <v>0.7</v>
      </c>
      <c r="T35" s="305">
        <v>1</v>
      </c>
      <c r="U35" s="299">
        <v>0.5</v>
      </c>
      <c r="V35" s="303">
        <v>0.5</v>
      </c>
      <c r="W35" s="304">
        <v>0.5</v>
      </c>
      <c r="X35" s="303">
        <v>0.5</v>
      </c>
      <c r="Y35" s="304">
        <v>0</v>
      </c>
      <c r="Z35" s="303">
        <v>0</v>
      </c>
      <c r="AA35" s="304">
        <v>0</v>
      </c>
      <c r="AB35" s="300">
        <v>0</v>
      </c>
      <c r="AC35" s="1"/>
      <c r="AD35" s="217">
        <f t="shared" si="0"/>
        <v>0.54</v>
      </c>
      <c r="AE35" s="218">
        <f t="shared" si="1"/>
        <v>0.44000000000000006</v>
      </c>
      <c r="AF35" s="1"/>
      <c r="AG35" s="219">
        <f t="shared" si="2"/>
        <v>0.52</v>
      </c>
    </row>
    <row r="36" spans="2:33" ht="30" customHeight="1" x14ac:dyDescent="0.25">
      <c r="B36" s="279">
        <v>26</v>
      </c>
      <c r="C36" s="310" t="s">
        <v>181</v>
      </c>
      <c r="D36" s="311" t="s">
        <v>185</v>
      </c>
      <c r="E36" s="311" t="s">
        <v>186</v>
      </c>
      <c r="F36" s="311" t="s">
        <v>105</v>
      </c>
      <c r="G36" s="312" t="s">
        <v>58</v>
      </c>
      <c r="H36" s="350" t="s">
        <v>187</v>
      </c>
      <c r="I36" s="368">
        <v>46388</v>
      </c>
      <c r="J36" s="351">
        <v>47025</v>
      </c>
      <c r="K36" s="316">
        <v>1</v>
      </c>
      <c r="L36" s="317">
        <v>0.5</v>
      </c>
      <c r="M36" s="318">
        <v>1</v>
      </c>
      <c r="N36" s="316">
        <v>0.7</v>
      </c>
      <c r="O36" s="320">
        <v>0.5</v>
      </c>
      <c r="P36" s="321">
        <v>0</v>
      </c>
      <c r="Q36" s="317">
        <v>0</v>
      </c>
      <c r="R36" s="316">
        <v>0.7</v>
      </c>
      <c r="S36" s="320">
        <v>0.7</v>
      </c>
      <c r="T36" s="322">
        <v>1</v>
      </c>
      <c r="U36" s="316">
        <v>1</v>
      </c>
      <c r="V36" s="320">
        <v>0</v>
      </c>
      <c r="W36" s="321">
        <v>0</v>
      </c>
      <c r="X36" s="320">
        <v>0</v>
      </c>
      <c r="Y36" s="321">
        <v>0.5</v>
      </c>
      <c r="Z36" s="320">
        <v>0</v>
      </c>
      <c r="AA36" s="321">
        <v>0.5</v>
      </c>
      <c r="AB36" s="317">
        <v>0.5</v>
      </c>
      <c r="AC36" s="1"/>
      <c r="AD36" s="220">
        <f t="shared" si="0"/>
        <v>0.68</v>
      </c>
      <c r="AE36" s="221">
        <f t="shared" si="1"/>
        <v>0.51500000000000001</v>
      </c>
      <c r="AF36" s="1"/>
      <c r="AG36" s="222">
        <f t="shared" si="2"/>
        <v>0.64700000000000002</v>
      </c>
    </row>
    <row r="37" spans="2:33" ht="30" customHeight="1" x14ac:dyDescent="0.25">
      <c r="B37" s="238">
        <v>27</v>
      </c>
      <c r="C37" s="356" t="s">
        <v>73</v>
      </c>
      <c r="D37" s="357" t="s">
        <v>74</v>
      </c>
      <c r="E37" s="356" t="s">
        <v>75</v>
      </c>
      <c r="F37" s="357" t="s">
        <v>76</v>
      </c>
      <c r="G37" s="358" t="s">
        <v>58</v>
      </c>
      <c r="H37" s="359" t="s">
        <v>77</v>
      </c>
      <c r="I37" s="360">
        <v>46507</v>
      </c>
      <c r="J37" s="361">
        <v>47054</v>
      </c>
      <c r="K37" s="362">
        <v>1</v>
      </c>
      <c r="L37" s="363">
        <v>0.8</v>
      </c>
      <c r="M37" s="364">
        <v>0.9</v>
      </c>
      <c r="N37" s="362">
        <v>0.8</v>
      </c>
      <c r="O37" s="365">
        <v>0.8</v>
      </c>
      <c r="P37" s="366">
        <v>0.5</v>
      </c>
      <c r="Q37" s="363">
        <v>0.5</v>
      </c>
      <c r="R37" s="362">
        <v>0.8</v>
      </c>
      <c r="S37" s="365">
        <v>0.8</v>
      </c>
      <c r="T37" s="367">
        <v>1</v>
      </c>
      <c r="U37" s="362">
        <v>0.5</v>
      </c>
      <c r="V37" s="365">
        <v>0.5</v>
      </c>
      <c r="W37" s="366">
        <v>1</v>
      </c>
      <c r="X37" s="365">
        <v>1</v>
      </c>
      <c r="Y37" s="366">
        <v>0.8</v>
      </c>
      <c r="Z37" s="365">
        <v>0.8</v>
      </c>
      <c r="AA37" s="366">
        <v>1</v>
      </c>
      <c r="AB37" s="363">
        <v>1</v>
      </c>
      <c r="AC37" s="1"/>
      <c r="AD37" s="232">
        <f t="shared" si="0"/>
        <v>0.82500000000000018</v>
      </c>
      <c r="AE37" s="233">
        <f t="shared" si="1"/>
        <v>0.80500000000000016</v>
      </c>
      <c r="AF37" s="1"/>
      <c r="AG37" s="234">
        <f t="shared" si="2"/>
        <v>0.82100000000000017</v>
      </c>
    </row>
    <row r="38" spans="2:33" ht="30" customHeight="1" x14ac:dyDescent="0.25">
      <c r="B38" s="279">
        <v>28</v>
      </c>
      <c r="C38" s="280" t="s">
        <v>188</v>
      </c>
      <c r="D38" s="369" t="s">
        <v>189</v>
      </c>
      <c r="E38" s="280" t="s">
        <v>190</v>
      </c>
      <c r="F38" s="281" t="s">
        <v>191</v>
      </c>
      <c r="G38" s="282" t="s">
        <v>58</v>
      </c>
      <c r="H38" s="370" t="s">
        <v>192</v>
      </c>
      <c r="I38" s="371">
        <v>46477</v>
      </c>
      <c r="J38" s="372">
        <v>47302</v>
      </c>
      <c r="K38" s="286">
        <v>0.5</v>
      </c>
      <c r="L38" s="287">
        <v>0.3</v>
      </c>
      <c r="M38" s="288">
        <v>1</v>
      </c>
      <c r="N38" s="286">
        <v>0.7</v>
      </c>
      <c r="O38" s="289">
        <v>0</v>
      </c>
      <c r="P38" s="290">
        <v>0</v>
      </c>
      <c r="Q38" s="287">
        <v>0</v>
      </c>
      <c r="R38" s="286">
        <v>0</v>
      </c>
      <c r="S38" s="289">
        <v>0</v>
      </c>
      <c r="T38" s="291">
        <v>1</v>
      </c>
      <c r="U38" s="286">
        <v>0</v>
      </c>
      <c r="V38" s="289">
        <v>0</v>
      </c>
      <c r="W38" s="290">
        <v>0.5</v>
      </c>
      <c r="X38" s="289">
        <v>0.5</v>
      </c>
      <c r="Y38" s="290">
        <v>0.5</v>
      </c>
      <c r="Z38" s="289">
        <v>0</v>
      </c>
      <c r="AA38" s="290">
        <v>0</v>
      </c>
      <c r="AB38" s="287">
        <v>0</v>
      </c>
      <c r="AC38" s="1"/>
      <c r="AD38" s="212">
        <f t="shared" si="0"/>
        <v>0.44000000000000006</v>
      </c>
      <c r="AE38" s="213">
        <f t="shared" si="1"/>
        <v>0.255</v>
      </c>
      <c r="AF38" s="1"/>
      <c r="AG38" s="214">
        <f t="shared" si="2"/>
        <v>0.40300000000000008</v>
      </c>
    </row>
    <row r="39" spans="2:33" ht="30" customHeight="1" x14ac:dyDescent="0.25">
      <c r="B39" s="238">
        <v>29</v>
      </c>
      <c r="C39" s="239" t="s">
        <v>90</v>
      </c>
      <c r="D39" s="240" t="s">
        <v>91</v>
      </c>
      <c r="E39" s="239" t="s">
        <v>92</v>
      </c>
      <c r="F39" s="240" t="s">
        <v>93</v>
      </c>
      <c r="G39" s="241" t="s">
        <v>58</v>
      </c>
      <c r="H39" s="242" t="s">
        <v>94</v>
      </c>
      <c r="I39" s="243">
        <v>46327</v>
      </c>
      <c r="J39" s="244">
        <v>46844</v>
      </c>
      <c r="K39" s="245">
        <v>0.9</v>
      </c>
      <c r="L39" s="246">
        <v>0</v>
      </c>
      <c r="M39" s="247">
        <v>1</v>
      </c>
      <c r="N39" s="245">
        <v>0.8</v>
      </c>
      <c r="O39" s="248">
        <v>0.8</v>
      </c>
      <c r="P39" s="249">
        <v>1</v>
      </c>
      <c r="Q39" s="246">
        <v>1</v>
      </c>
      <c r="R39" s="245">
        <v>1</v>
      </c>
      <c r="S39" s="248">
        <v>1</v>
      </c>
      <c r="T39" s="252">
        <v>1</v>
      </c>
      <c r="U39" s="245">
        <v>0.7</v>
      </c>
      <c r="V39" s="248">
        <v>0.7</v>
      </c>
      <c r="W39" s="249">
        <v>1</v>
      </c>
      <c r="X39" s="248">
        <v>1</v>
      </c>
      <c r="Y39" s="249">
        <v>0</v>
      </c>
      <c r="Z39" s="248">
        <v>0</v>
      </c>
      <c r="AA39" s="249">
        <v>0.5</v>
      </c>
      <c r="AB39" s="246">
        <v>0.5</v>
      </c>
      <c r="AC39" s="1"/>
      <c r="AD39" s="215">
        <f t="shared" si="0"/>
        <v>0.86000000000000021</v>
      </c>
      <c r="AE39" s="216">
        <f t="shared" si="1"/>
        <v>0.77000000000000013</v>
      </c>
      <c r="AF39" s="1"/>
      <c r="AG39" s="132">
        <f t="shared" si="2"/>
        <v>0.84200000000000019</v>
      </c>
    </row>
    <row r="40" spans="2:33" ht="30" customHeight="1" x14ac:dyDescent="0.25">
      <c r="B40" s="266">
        <v>30</v>
      </c>
      <c r="C40" s="254" t="s">
        <v>90</v>
      </c>
      <c r="D40" s="255" t="s">
        <v>193</v>
      </c>
      <c r="E40" s="255" t="s">
        <v>194</v>
      </c>
      <c r="F40" s="255" t="s">
        <v>195</v>
      </c>
      <c r="G40" s="256" t="s">
        <v>58</v>
      </c>
      <c r="H40" s="257" t="s">
        <v>196</v>
      </c>
      <c r="I40" s="258">
        <v>46447</v>
      </c>
      <c r="J40" s="259">
        <v>47085</v>
      </c>
      <c r="K40" s="260">
        <v>1</v>
      </c>
      <c r="L40" s="261">
        <v>1</v>
      </c>
      <c r="M40" s="262">
        <v>1</v>
      </c>
      <c r="N40" s="260">
        <v>0.9</v>
      </c>
      <c r="O40" s="263">
        <v>0.9</v>
      </c>
      <c r="P40" s="264">
        <v>0</v>
      </c>
      <c r="Q40" s="261">
        <v>0</v>
      </c>
      <c r="R40" s="260">
        <v>0.8</v>
      </c>
      <c r="S40" s="263">
        <v>0.8</v>
      </c>
      <c r="T40" s="265">
        <v>0</v>
      </c>
      <c r="U40" s="260">
        <v>0</v>
      </c>
      <c r="V40" s="263">
        <v>0</v>
      </c>
      <c r="W40" s="264">
        <v>1</v>
      </c>
      <c r="X40" s="263">
        <v>1</v>
      </c>
      <c r="Y40" s="264">
        <v>0</v>
      </c>
      <c r="Z40" s="263">
        <v>0</v>
      </c>
      <c r="AA40" s="264">
        <v>1</v>
      </c>
      <c r="AB40" s="261">
        <v>1</v>
      </c>
      <c r="AC40" s="1"/>
      <c r="AD40" s="133">
        <f t="shared" si="0"/>
        <v>0.64000000000000012</v>
      </c>
      <c r="AE40" s="134">
        <f t="shared" si="1"/>
        <v>0.64000000000000012</v>
      </c>
      <c r="AF40" s="1"/>
      <c r="AG40" s="135">
        <f t="shared" si="2"/>
        <v>0.64000000000000012</v>
      </c>
    </row>
    <row r="41" spans="2:33" ht="30" customHeight="1" x14ac:dyDescent="0.25">
      <c r="B41" s="279">
        <v>31</v>
      </c>
      <c r="C41" s="267" t="s">
        <v>90</v>
      </c>
      <c r="D41" s="268" t="s">
        <v>197</v>
      </c>
      <c r="E41" s="268" t="s">
        <v>198</v>
      </c>
      <c r="F41" s="268" t="s">
        <v>199</v>
      </c>
      <c r="G41" s="269" t="s">
        <v>58</v>
      </c>
      <c r="H41" s="270" t="s">
        <v>200</v>
      </c>
      <c r="I41" s="271">
        <v>46447</v>
      </c>
      <c r="J41" s="272">
        <v>47088</v>
      </c>
      <c r="K41" s="273">
        <v>1</v>
      </c>
      <c r="L41" s="274">
        <v>0</v>
      </c>
      <c r="M41" s="275">
        <v>1</v>
      </c>
      <c r="N41" s="273">
        <v>0.7</v>
      </c>
      <c r="O41" s="276">
        <v>0.7</v>
      </c>
      <c r="P41" s="277">
        <v>1</v>
      </c>
      <c r="Q41" s="274">
        <v>0</v>
      </c>
      <c r="R41" s="273">
        <v>0.7</v>
      </c>
      <c r="S41" s="276">
        <v>0.7</v>
      </c>
      <c r="T41" s="278">
        <v>0</v>
      </c>
      <c r="U41" s="273">
        <v>0.5</v>
      </c>
      <c r="V41" s="276">
        <v>0</v>
      </c>
      <c r="W41" s="277">
        <v>1</v>
      </c>
      <c r="X41" s="276">
        <v>1</v>
      </c>
      <c r="Y41" s="277">
        <v>0</v>
      </c>
      <c r="Z41" s="276">
        <v>0</v>
      </c>
      <c r="AA41" s="277">
        <v>0</v>
      </c>
      <c r="AB41" s="274">
        <v>0</v>
      </c>
      <c r="AC41" s="1"/>
      <c r="AD41" s="136">
        <f t="shared" si="0"/>
        <v>0.65500000000000003</v>
      </c>
      <c r="AE41" s="137">
        <f t="shared" si="1"/>
        <v>0.43</v>
      </c>
      <c r="AF41" s="1"/>
      <c r="AG41" s="138">
        <f t="shared" si="2"/>
        <v>0.61</v>
      </c>
    </row>
    <row r="42" spans="2:33" ht="30" customHeight="1" x14ac:dyDescent="0.25">
      <c r="B42" s="279">
        <v>32</v>
      </c>
      <c r="C42" s="280" t="s">
        <v>78</v>
      </c>
      <c r="D42" s="281" t="s">
        <v>79</v>
      </c>
      <c r="E42" s="280" t="s">
        <v>80</v>
      </c>
      <c r="F42" s="281" t="s">
        <v>81</v>
      </c>
      <c r="G42" s="282" t="s">
        <v>58</v>
      </c>
      <c r="H42" s="283" t="s">
        <v>82</v>
      </c>
      <c r="I42" s="284">
        <v>46357</v>
      </c>
      <c r="J42" s="285">
        <v>46905</v>
      </c>
      <c r="K42" s="286">
        <v>0.9</v>
      </c>
      <c r="L42" s="287">
        <v>0</v>
      </c>
      <c r="M42" s="288">
        <v>0.9</v>
      </c>
      <c r="N42" s="286">
        <v>0.9</v>
      </c>
      <c r="O42" s="289">
        <v>0.9</v>
      </c>
      <c r="P42" s="290">
        <v>1</v>
      </c>
      <c r="Q42" s="287">
        <v>0</v>
      </c>
      <c r="R42" s="286">
        <v>0.9</v>
      </c>
      <c r="S42" s="289">
        <v>0</v>
      </c>
      <c r="T42" s="291">
        <v>1</v>
      </c>
      <c r="U42" s="286">
        <v>1</v>
      </c>
      <c r="V42" s="289">
        <v>0</v>
      </c>
      <c r="W42" s="290">
        <v>1</v>
      </c>
      <c r="X42" s="289">
        <v>0</v>
      </c>
      <c r="Y42" s="290">
        <v>0.5</v>
      </c>
      <c r="Z42" s="289">
        <v>0</v>
      </c>
      <c r="AA42" s="290">
        <v>0</v>
      </c>
      <c r="AB42" s="287">
        <v>0</v>
      </c>
      <c r="AC42" s="1"/>
      <c r="AD42" s="212">
        <f t="shared" si="0"/>
        <v>0.86500000000000021</v>
      </c>
      <c r="AE42" s="213">
        <f t="shared" si="1"/>
        <v>0.37</v>
      </c>
      <c r="AF42" s="1"/>
      <c r="AG42" s="214">
        <f t="shared" si="2"/>
        <v>0.76600000000000013</v>
      </c>
    </row>
    <row r="43" spans="2:33" ht="30" customHeight="1" x14ac:dyDescent="0.25">
      <c r="B43" s="238">
        <v>33</v>
      </c>
      <c r="C43" s="357" t="s">
        <v>201</v>
      </c>
      <c r="D43" s="357" t="s">
        <v>202</v>
      </c>
      <c r="E43" s="356" t="s">
        <v>203</v>
      </c>
      <c r="F43" s="357" t="s">
        <v>57</v>
      </c>
      <c r="G43" s="358" t="s">
        <v>58</v>
      </c>
      <c r="H43" s="359" t="s">
        <v>204</v>
      </c>
      <c r="I43" s="360">
        <v>46447</v>
      </c>
      <c r="J43" s="361">
        <v>47119</v>
      </c>
      <c r="K43" s="362">
        <v>0.8</v>
      </c>
      <c r="L43" s="363">
        <v>0</v>
      </c>
      <c r="M43" s="364">
        <v>1</v>
      </c>
      <c r="N43" s="362">
        <v>0</v>
      </c>
      <c r="O43" s="365">
        <v>0</v>
      </c>
      <c r="P43" s="366">
        <v>0</v>
      </c>
      <c r="Q43" s="363">
        <v>1</v>
      </c>
      <c r="R43" s="362">
        <v>0</v>
      </c>
      <c r="S43" s="365">
        <v>0</v>
      </c>
      <c r="T43" s="367">
        <v>1</v>
      </c>
      <c r="U43" s="362">
        <v>0.5</v>
      </c>
      <c r="V43" s="365">
        <v>0</v>
      </c>
      <c r="W43" s="366">
        <v>0.5</v>
      </c>
      <c r="X43" s="365">
        <v>0.5</v>
      </c>
      <c r="Y43" s="366">
        <v>0.5</v>
      </c>
      <c r="Z43" s="365">
        <v>0.5</v>
      </c>
      <c r="AA43" s="366">
        <v>0</v>
      </c>
      <c r="AB43" s="363">
        <v>0</v>
      </c>
      <c r="AC43" s="1"/>
      <c r="AD43" s="232">
        <f t="shared" si="0"/>
        <v>0.35500000000000009</v>
      </c>
      <c r="AE43" s="233">
        <f t="shared" si="1"/>
        <v>0.35000000000000009</v>
      </c>
      <c r="AF43" s="1"/>
      <c r="AG43" s="234">
        <f t="shared" si="2"/>
        <v>0.35400000000000009</v>
      </c>
    </row>
    <row r="44" spans="2:33" ht="30" customHeight="1" x14ac:dyDescent="0.25">
      <c r="B44" s="279">
        <v>34</v>
      </c>
      <c r="C44" s="281" t="s">
        <v>205</v>
      </c>
      <c r="D44" s="369" t="s">
        <v>206</v>
      </c>
      <c r="E44" s="280" t="s">
        <v>207</v>
      </c>
      <c r="F44" s="281" t="s">
        <v>70</v>
      </c>
      <c r="G44" s="282" t="s">
        <v>109</v>
      </c>
      <c r="H44" s="370" t="s">
        <v>208</v>
      </c>
      <c r="I44" s="373"/>
      <c r="J44" s="374"/>
      <c r="K44" s="286">
        <v>0.3</v>
      </c>
      <c r="L44" s="287">
        <v>0</v>
      </c>
      <c r="M44" s="288">
        <v>0</v>
      </c>
      <c r="N44" s="286">
        <v>0</v>
      </c>
      <c r="O44" s="289">
        <v>0</v>
      </c>
      <c r="P44" s="290">
        <v>0</v>
      </c>
      <c r="Q44" s="287">
        <v>0</v>
      </c>
      <c r="R44" s="286">
        <v>0</v>
      </c>
      <c r="S44" s="289">
        <v>0</v>
      </c>
      <c r="T44" s="291">
        <v>0</v>
      </c>
      <c r="U44" s="286">
        <v>0</v>
      </c>
      <c r="V44" s="289">
        <v>0</v>
      </c>
      <c r="W44" s="290">
        <v>0</v>
      </c>
      <c r="X44" s="289">
        <v>0</v>
      </c>
      <c r="Y44" s="290">
        <v>0</v>
      </c>
      <c r="Z44" s="289">
        <v>0</v>
      </c>
      <c r="AA44" s="290">
        <v>0</v>
      </c>
      <c r="AB44" s="287">
        <v>0</v>
      </c>
      <c r="AC44" s="1"/>
      <c r="AD44" s="212">
        <f t="shared" si="0"/>
        <v>0.03</v>
      </c>
      <c r="AE44" s="213">
        <f t="shared" si="1"/>
        <v>0</v>
      </c>
      <c r="AF44" s="1"/>
      <c r="AG44" s="214">
        <f t="shared" si="2"/>
        <v>2.4E-2</v>
      </c>
    </row>
    <row r="45" spans="2:33" ht="30" customHeight="1" x14ac:dyDescent="0.25">
      <c r="B45" s="238">
        <v>35</v>
      </c>
      <c r="C45" s="239" t="s">
        <v>102</v>
      </c>
      <c r="D45" s="375" t="s">
        <v>107</v>
      </c>
      <c r="E45" s="239" t="s">
        <v>108</v>
      </c>
      <c r="F45" s="240" t="s">
        <v>70</v>
      </c>
      <c r="G45" s="241" t="s">
        <v>109</v>
      </c>
      <c r="H45" s="324" t="s">
        <v>459</v>
      </c>
      <c r="I45" s="376"/>
      <c r="J45" s="377"/>
      <c r="K45" s="245">
        <v>1</v>
      </c>
      <c r="L45" s="246">
        <v>1</v>
      </c>
      <c r="M45" s="247">
        <v>1</v>
      </c>
      <c r="N45" s="245">
        <v>0.9</v>
      </c>
      <c r="O45" s="248">
        <v>0.9</v>
      </c>
      <c r="P45" s="249">
        <v>1</v>
      </c>
      <c r="Q45" s="246">
        <v>1</v>
      </c>
      <c r="R45" s="245">
        <v>0.8</v>
      </c>
      <c r="S45" s="248">
        <v>0.8</v>
      </c>
      <c r="T45" s="252">
        <v>1</v>
      </c>
      <c r="U45" s="245">
        <v>0.8</v>
      </c>
      <c r="V45" s="248">
        <v>0.8</v>
      </c>
      <c r="W45" s="249">
        <v>0.5</v>
      </c>
      <c r="X45" s="248">
        <v>0.5</v>
      </c>
      <c r="Y45" s="249">
        <v>0.5</v>
      </c>
      <c r="Z45" s="248">
        <v>0.5</v>
      </c>
      <c r="AA45" s="249">
        <v>0</v>
      </c>
      <c r="AB45" s="246">
        <v>0</v>
      </c>
      <c r="AC45" s="1"/>
      <c r="AD45" s="215">
        <f t="shared" si="0"/>
        <v>0.83000000000000007</v>
      </c>
      <c r="AE45" s="216">
        <f t="shared" si="1"/>
        <v>0.83000000000000007</v>
      </c>
      <c r="AF45" s="1"/>
      <c r="AG45" s="132">
        <f t="shared" si="2"/>
        <v>0.83000000000000018</v>
      </c>
    </row>
    <row r="46" spans="2:33" ht="30" customHeight="1" x14ac:dyDescent="0.25">
      <c r="B46" s="266">
        <v>36</v>
      </c>
      <c r="C46" s="254" t="s">
        <v>102</v>
      </c>
      <c r="D46" s="255" t="s">
        <v>209</v>
      </c>
      <c r="E46" s="254" t="s">
        <v>108</v>
      </c>
      <c r="F46" s="255" t="s">
        <v>70</v>
      </c>
      <c r="G46" s="256" t="s">
        <v>109</v>
      </c>
      <c r="H46" s="257" t="s">
        <v>460</v>
      </c>
      <c r="I46" s="258">
        <v>46376</v>
      </c>
      <c r="J46" s="259">
        <v>47088</v>
      </c>
      <c r="K46" s="260">
        <v>0.6</v>
      </c>
      <c r="L46" s="261">
        <v>0.5</v>
      </c>
      <c r="M46" s="262">
        <v>1</v>
      </c>
      <c r="N46" s="260">
        <v>0</v>
      </c>
      <c r="O46" s="263">
        <v>0</v>
      </c>
      <c r="P46" s="264">
        <v>0</v>
      </c>
      <c r="Q46" s="261">
        <v>0</v>
      </c>
      <c r="R46" s="260">
        <v>0</v>
      </c>
      <c r="S46" s="263">
        <v>0</v>
      </c>
      <c r="T46" s="265">
        <v>1</v>
      </c>
      <c r="U46" s="260">
        <v>0.5</v>
      </c>
      <c r="V46" s="263">
        <v>0</v>
      </c>
      <c r="W46" s="264">
        <v>0.5</v>
      </c>
      <c r="X46" s="263">
        <v>0</v>
      </c>
      <c r="Y46" s="264">
        <v>0.5</v>
      </c>
      <c r="Z46" s="263">
        <v>0</v>
      </c>
      <c r="AA46" s="264">
        <v>0</v>
      </c>
      <c r="AB46" s="261">
        <v>0</v>
      </c>
      <c r="AC46" s="1"/>
      <c r="AD46" s="133">
        <f t="shared" si="0"/>
        <v>0.33500000000000008</v>
      </c>
      <c r="AE46" s="134">
        <f t="shared" si="1"/>
        <v>0.25</v>
      </c>
      <c r="AF46" s="1"/>
      <c r="AG46" s="135">
        <f t="shared" si="2"/>
        <v>0.31800000000000006</v>
      </c>
    </row>
    <row r="47" spans="2:33" ht="30" customHeight="1" x14ac:dyDescent="0.25">
      <c r="B47" s="279">
        <v>37</v>
      </c>
      <c r="C47" s="254" t="s">
        <v>102</v>
      </c>
      <c r="D47" s="255" t="s">
        <v>110</v>
      </c>
      <c r="E47" s="254" t="s">
        <v>111</v>
      </c>
      <c r="F47" s="255" t="s">
        <v>70</v>
      </c>
      <c r="G47" s="256" t="s">
        <v>109</v>
      </c>
      <c r="H47" s="257" t="s">
        <v>112</v>
      </c>
      <c r="I47" s="258">
        <v>46371</v>
      </c>
      <c r="J47" s="259">
        <v>47088</v>
      </c>
      <c r="K47" s="260">
        <v>1</v>
      </c>
      <c r="L47" s="261">
        <v>1</v>
      </c>
      <c r="M47" s="262">
        <v>0.9</v>
      </c>
      <c r="N47" s="260">
        <v>0.9</v>
      </c>
      <c r="O47" s="263">
        <v>0.9</v>
      </c>
      <c r="P47" s="264">
        <v>0.8</v>
      </c>
      <c r="Q47" s="261">
        <v>0.8</v>
      </c>
      <c r="R47" s="260">
        <v>0.8</v>
      </c>
      <c r="S47" s="263">
        <v>0.8</v>
      </c>
      <c r="T47" s="265">
        <v>1</v>
      </c>
      <c r="U47" s="260">
        <v>0.9</v>
      </c>
      <c r="V47" s="263">
        <v>0.9</v>
      </c>
      <c r="W47" s="264">
        <v>1</v>
      </c>
      <c r="X47" s="263">
        <v>1</v>
      </c>
      <c r="Y47" s="264">
        <v>0.5</v>
      </c>
      <c r="Z47" s="263">
        <v>0.5</v>
      </c>
      <c r="AA47" s="264">
        <v>0.5</v>
      </c>
      <c r="AB47" s="261">
        <v>0.5</v>
      </c>
      <c r="AC47" s="1"/>
      <c r="AD47" s="133">
        <f t="shared" si="0"/>
        <v>0.8550000000000002</v>
      </c>
      <c r="AE47" s="134">
        <f t="shared" si="1"/>
        <v>0.8550000000000002</v>
      </c>
      <c r="AF47" s="1"/>
      <c r="AG47" s="135">
        <f t="shared" si="2"/>
        <v>0.8550000000000002</v>
      </c>
    </row>
    <row r="48" spans="2:33" ht="30" customHeight="1" x14ac:dyDescent="0.25">
      <c r="B48" s="279">
        <v>38</v>
      </c>
      <c r="C48" s="254" t="s">
        <v>102</v>
      </c>
      <c r="D48" s="255" t="s">
        <v>210</v>
      </c>
      <c r="E48" s="254" t="s">
        <v>211</v>
      </c>
      <c r="F48" s="255" t="s">
        <v>70</v>
      </c>
      <c r="G48" s="256" t="s">
        <v>109</v>
      </c>
      <c r="H48" s="257" t="s">
        <v>212</v>
      </c>
      <c r="I48" s="258">
        <v>46376</v>
      </c>
      <c r="J48" s="259">
        <v>47088</v>
      </c>
      <c r="K48" s="260">
        <v>0.9</v>
      </c>
      <c r="L48" s="261">
        <v>0.5</v>
      </c>
      <c r="M48" s="262">
        <v>1</v>
      </c>
      <c r="N48" s="260">
        <v>0.5</v>
      </c>
      <c r="O48" s="263">
        <v>0</v>
      </c>
      <c r="P48" s="264">
        <v>0</v>
      </c>
      <c r="Q48" s="261">
        <v>0</v>
      </c>
      <c r="R48" s="260">
        <v>0</v>
      </c>
      <c r="S48" s="263">
        <v>0</v>
      </c>
      <c r="T48" s="265">
        <v>1</v>
      </c>
      <c r="U48" s="260">
        <v>0.5</v>
      </c>
      <c r="V48" s="263">
        <v>0</v>
      </c>
      <c r="W48" s="264">
        <v>0.5</v>
      </c>
      <c r="X48" s="263">
        <v>0</v>
      </c>
      <c r="Y48" s="264">
        <v>0</v>
      </c>
      <c r="Z48" s="263">
        <v>0</v>
      </c>
      <c r="AA48" s="264">
        <v>0</v>
      </c>
      <c r="AB48" s="261">
        <v>0</v>
      </c>
      <c r="AC48" s="1"/>
      <c r="AD48" s="133">
        <f t="shared" si="0"/>
        <v>0.44000000000000006</v>
      </c>
      <c r="AE48" s="134">
        <f t="shared" si="1"/>
        <v>0.25</v>
      </c>
      <c r="AF48" s="1"/>
      <c r="AG48" s="135">
        <f t="shared" si="2"/>
        <v>0.40200000000000008</v>
      </c>
    </row>
    <row r="49" spans="2:33" ht="30" customHeight="1" x14ac:dyDescent="0.25">
      <c r="B49" s="238">
        <v>39</v>
      </c>
      <c r="C49" s="254" t="s">
        <v>102</v>
      </c>
      <c r="D49" s="255" t="s">
        <v>213</v>
      </c>
      <c r="E49" s="254" t="s">
        <v>108</v>
      </c>
      <c r="F49" s="255" t="s">
        <v>70</v>
      </c>
      <c r="G49" s="256" t="s">
        <v>109</v>
      </c>
      <c r="H49" s="257" t="s">
        <v>214</v>
      </c>
      <c r="I49" s="258">
        <v>46376</v>
      </c>
      <c r="J49" s="259">
        <v>47088</v>
      </c>
      <c r="K49" s="260">
        <v>0.8</v>
      </c>
      <c r="L49" s="261">
        <v>0.5</v>
      </c>
      <c r="M49" s="262">
        <v>1</v>
      </c>
      <c r="N49" s="260">
        <v>0.5</v>
      </c>
      <c r="O49" s="263">
        <v>0</v>
      </c>
      <c r="P49" s="264">
        <v>0</v>
      </c>
      <c r="Q49" s="261">
        <v>0</v>
      </c>
      <c r="R49" s="260">
        <v>0.5</v>
      </c>
      <c r="S49" s="263">
        <v>0</v>
      </c>
      <c r="T49" s="265">
        <v>1</v>
      </c>
      <c r="U49" s="260">
        <v>0.5</v>
      </c>
      <c r="V49" s="263">
        <v>0</v>
      </c>
      <c r="W49" s="264">
        <v>0.5</v>
      </c>
      <c r="X49" s="263">
        <v>0</v>
      </c>
      <c r="Y49" s="264">
        <v>0.5</v>
      </c>
      <c r="Z49" s="263">
        <v>0.5</v>
      </c>
      <c r="AA49" s="264">
        <v>0</v>
      </c>
      <c r="AB49" s="261">
        <v>0</v>
      </c>
      <c r="AC49" s="1"/>
      <c r="AD49" s="133">
        <f t="shared" si="0"/>
        <v>0.55500000000000005</v>
      </c>
      <c r="AE49" s="134">
        <f t="shared" si="1"/>
        <v>0.27500000000000002</v>
      </c>
      <c r="AF49" s="1"/>
      <c r="AG49" s="135">
        <f t="shared" si="2"/>
        <v>0.49900000000000005</v>
      </c>
    </row>
    <row r="50" spans="2:33" ht="30" customHeight="1" thickBot="1" x14ac:dyDescent="0.3">
      <c r="B50" s="279">
        <v>40</v>
      </c>
      <c r="C50" s="378" t="s">
        <v>102</v>
      </c>
      <c r="D50" s="379" t="s">
        <v>103</v>
      </c>
      <c r="E50" s="378" t="s">
        <v>104</v>
      </c>
      <c r="F50" s="379" t="s">
        <v>105</v>
      </c>
      <c r="G50" s="380" t="s">
        <v>58</v>
      </c>
      <c r="H50" s="381" t="s">
        <v>106</v>
      </c>
      <c r="I50" s="382">
        <v>46357</v>
      </c>
      <c r="J50" s="383">
        <v>46844</v>
      </c>
      <c r="K50" s="384">
        <v>1</v>
      </c>
      <c r="L50" s="385">
        <v>1</v>
      </c>
      <c r="M50" s="386">
        <v>1</v>
      </c>
      <c r="N50" s="384">
        <v>0.8</v>
      </c>
      <c r="O50" s="387">
        <v>0.8</v>
      </c>
      <c r="P50" s="388">
        <v>0.8</v>
      </c>
      <c r="Q50" s="385">
        <v>0.8</v>
      </c>
      <c r="R50" s="384">
        <v>0.8</v>
      </c>
      <c r="S50" s="387">
        <v>0.8</v>
      </c>
      <c r="T50" s="389">
        <v>1</v>
      </c>
      <c r="U50" s="384">
        <v>0.9</v>
      </c>
      <c r="V50" s="387">
        <v>0.9</v>
      </c>
      <c r="W50" s="388">
        <v>0.5</v>
      </c>
      <c r="X50" s="387">
        <v>0.5</v>
      </c>
      <c r="Y50" s="388">
        <v>0.5</v>
      </c>
      <c r="Z50" s="387">
        <v>0.5</v>
      </c>
      <c r="AA50" s="388">
        <v>0.5</v>
      </c>
      <c r="AB50" s="385">
        <v>0.5</v>
      </c>
      <c r="AC50" s="1"/>
      <c r="AD50" s="235">
        <f>+(K50*$K$52)+(M50*$M$52)+(N50*$N$52)+(P50*$P$52)+(R50*$R$52)+(T50*$T$52)+(U50*$U$52)+(W50*$W$52)+(Y50*$Y$52)+(AA50*$AA$52)</f>
        <v>0.82000000000000017</v>
      </c>
      <c r="AE50" s="236">
        <f>+(L50*$K$52)+(M50*$M$52)+(O50*$N$52)+(Q50*$P$52)+(S50*$R$52)+(T50*$T$52)+(V50*$U$52)+(X50*$W$52)+(Z50*$Y$52)+(AB50*$AA$52)</f>
        <v>0.82000000000000017</v>
      </c>
      <c r="AF50" s="1"/>
      <c r="AG50" s="237">
        <f>+(AD50*$AD$52)+(AE50*$AE$52)</f>
        <v>0.82000000000000017</v>
      </c>
    </row>
    <row r="51" spans="2:33" ht="23.25" customHeight="1" x14ac:dyDescent="0.25">
      <c r="K51" s="425" t="s">
        <v>215</v>
      </c>
      <c r="L51" s="417"/>
      <c r="M51" s="29" t="s">
        <v>216</v>
      </c>
      <c r="N51" s="421" t="s">
        <v>215</v>
      </c>
      <c r="O51" s="422"/>
      <c r="P51" s="422"/>
      <c r="Q51" s="428"/>
      <c r="R51" s="421" t="s">
        <v>215</v>
      </c>
      <c r="S51" s="422"/>
      <c r="T51" s="30" t="s">
        <v>216</v>
      </c>
      <c r="U51" s="425" t="s">
        <v>215</v>
      </c>
      <c r="V51" s="414"/>
      <c r="W51" s="417" t="s">
        <v>215</v>
      </c>
      <c r="X51" s="417"/>
      <c r="Y51" s="413" t="s">
        <v>215</v>
      </c>
      <c r="Z51" s="414"/>
      <c r="AA51" s="417" t="s">
        <v>215</v>
      </c>
      <c r="AB51" s="418"/>
      <c r="AC51" s="6"/>
      <c r="AD51" s="9" t="s">
        <v>216</v>
      </c>
      <c r="AE51" s="7" t="s">
        <v>216</v>
      </c>
      <c r="AF51" s="6"/>
      <c r="AG51" s="6"/>
    </row>
    <row r="52" spans="2:33" ht="14.25" thickBot="1" x14ac:dyDescent="0.3">
      <c r="K52" s="426">
        <v>0.1</v>
      </c>
      <c r="L52" s="427"/>
      <c r="M52" s="31">
        <v>0.1</v>
      </c>
      <c r="N52" s="423">
        <v>0.2</v>
      </c>
      <c r="O52" s="424"/>
      <c r="P52" s="429">
        <v>0.1</v>
      </c>
      <c r="Q52" s="430"/>
      <c r="R52" s="423">
        <v>0.2</v>
      </c>
      <c r="S52" s="424"/>
      <c r="T52" s="32">
        <v>0.1</v>
      </c>
      <c r="U52" s="426">
        <v>0.05</v>
      </c>
      <c r="V52" s="416"/>
      <c r="W52" s="419">
        <v>0.05</v>
      </c>
      <c r="X52" s="427"/>
      <c r="Y52" s="415">
        <v>0.05</v>
      </c>
      <c r="Z52" s="416"/>
      <c r="AA52" s="419">
        <v>0.05</v>
      </c>
      <c r="AB52" s="420"/>
      <c r="AC52" s="6"/>
      <c r="AD52" s="10">
        <v>0.8</v>
      </c>
      <c r="AE52" s="8">
        <v>0.2</v>
      </c>
      <c r="AF52" s="6"/>
      <c r="AG52" s="6"/>
    </row>
    <row r="54" spans="2:33" x14ac:dyDescent="0.25">
      <c r="D54" s="68" t="s">
        <v>35</v>
      </c>
      <c r="E54" s="39" t="s">
        <v>217</v>
      </c>
    </row>
    <row r="55" spans="2:33" x14ac:dyDescent="0.25">
      <c r="D55" s="68" t="s">
        <v>38</v>
      </c>
      <c r="E55" s="39" t="s">
        <v>218</v>
      </c>
    </row>
    <row r="56" spans="2:33" x14ac:dyDescent="0.25">
      <c r="D56" s="67"/>
    </row>
    <row r="95" spans="30:30" hidden="1" x14ac:dyDescent="0.25">
      <c r="AD95" s="113">
        <v>0</v>
      </c>
    </row>
    <row r="96" spans="30:30" hidden="1" x14ac:dyDescent="0.25">
      <c r="AD96" s="113">
        <v>1</v>
      </c>
    </row>
  </sheetData>
  <mergeCells count="43">
    <mergeCell ref="G8:G10"/>
    <mergeCell ref="U8:AB8"/>
    <mergeCell ref="N8:Q8"/>
    <mergeCell ref="N9:O9"/>
    <mergeCell ref="P9:Q9"/>
    <mergeCell ref="K8:L9"/>
    <mergeCell ref="M8:M10"/>
    <mergeCell ref="B8:B10"/>
    <mergeCell ref="C8:C10"/>
    <mergeCell ref="D8:D10"/>
    <mergeCell ref="E8:E10"/>
    <mergeCell ref="F8:F10"/>
    <mergeCell ref="H8:H10"/>
    <mergeCell ref="I8:I10"/>
    <mergeCell ref="J8:J10"/>
    <mergeCell ref="AD8:AD10"/>
    <mergeCell ref="AE8:AE10"/>
    <mergeCell ref="AG8:AG10"/>
    <mergeCell ref="R8:T8"/>
    <mergeCell ref="T9:T10"/>
    <mergeCell ref="U9:V9"/>
    <mergeCell ref="R9:S9"/>
    <mergeCell ref="N52:O52"/>
    <mergeCell ref="P52:Q52"/>
    <mergeCell ref="W9:X9"/>
    <mergeCell ref="Y9:Z9"/>
    <mergeCell ref="AA9:AB9"/>
    <mergeCell ref="G5:AB6"/>
    <mergeCell ref="AD2:AE6"/>
    <mergeCell ref="AG2:AG6"/>
    <mergeCell ref="Y51:Z51"/>
    <mergeCell ref="Y52:Z52"/>
    <mergeCell ref="AA51:AB51"/>
    <mergeCell ref="AA52:AB52"/>
    <mergeCell ref="R51:S51"/>
    <mergeCell ref="R52:S52"/>
    <mergeCell ref="U51:V51"/>
    <mergeCell ref="U52:V52"/>
    <mergeCell ref="W51:X51"/>
    <mergeCell ref="W52:X52"/>
    <mergeCell ref="K51:L51"/>
    <mergeCell ref="K52:L52"/>
    <mergeCell ref="N51:Q51"/>
  </mergeCells>
  <conditionalFormatting sqref="AD1:AD51 AD53:AD1048576">
    <cfRule type="iconSet" priority="1">
      <iconSet>
        <cfvo type="percent" val="0"/>
        <cfvo type="percent" val="76"/>
        <cfvo type="percent" val="85"/>
      </iconSet>
    </cfRule>
  </conditionalFormatting>
  <printOptions horizontalCentered="1" verticalCentered="1"/>
  <pageMargins left="0.19685039370078741" right="0.19685039370078741" top="0.39370078740157483" bottom="0.39370078740157483" header="0" footer="0"/>
  <pageSetup paperSize="3" scale="52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78D9-47D9-4EBC-8BEA-A91BF1F0B98F}">
  <dimension ref="A1:AX53"/>
  <sheetViews>
    <sheetView topLeftCell="AD1" zoomScaleNormal="100" workbookViewId="0">
      <selection sqref="A1:AX1"/>
    </sheetView>
  </sheetViews>
  <sheetFormatPr baseColWidth="10" defaultColWidth="11.42578125" defaultRowHeight="15" x14ac:dyDescent="0.25"/>
  <cols>
    <col min="1" max="1" width="9" style="180" bestFit="1" customWidth="1"/>
    <col min="2" max="2" width="12.5703125" style="180" bestFit="1" customWidth="1"/>
    <col min="3" max="3" width="47" style="180" bestFit="1" customWidth="1"/>
    <col min="4" max="4" width="47" style="180" customWidth="1"/>
    <col min="5" max="5" width="47.28515625" style="180" bestFit="1" customWidth="1"/>
    <col min="6" max="6" width="21.85546875" style="180" customWidth="1"/>
    <col min="7" max="7" width="15.5703125" style="180" customWidth="1"/>
    <col min="8" max="8" width="34.42578125" style="180" customWidth="1"/>
    <col min="9" max="9" width="24.5703125" style="180" customWidth="1"/>
    <col min="10" max="10" width="36.42578125" style="180" customWidth="1"/>
    <col min="11" max="11" width="29.42578125" style="180" customWidth="1"/>
    <col min="12" max="12" width="26.140625" style="181" customWidth="1"/>
    <col min="13" max="13" width="23.7109375" style="181" customWidth="1"/>
    <col min="14" max="14" width="29.42578125" style="181" customWidth="1"/>
    <col min="15" max="15" width="17.85546875" style="161" customWidth="1"/>
    <col min="16" max="16" width="11.5703125" style="161" bestFit="1" customWidth="1"/>
    <col min="17" max="17" width="55.85546875" style="180" customWidth="1"/>
    <col min="18" max="18" width="7.140625" style="180" customWidth="1"/>
    <col min="19" max="19" width="6.7109375" style="183" customWidth="1"/>
    <col min="20" max="20" width="17.28515625" style="183" customWidth="1"/>
    <col min="21" max="22" width="9.140625" style="180" customWidth="1"/>
    <col min="23" max="24" width="17.28515625" style="161" customWidth="1"/>
    <col min="25" max="25" width="24.28515625" style="161" customWidth="1"/>
    <col min="26" max="26" width="20.28515625" style="180" customWidth="1"/>
    <col min="27" max="27" width="27" style="180" customWidth="1"/>
    <col min="28" max="28" width="18" style="161" customWidth="1"/>
    <col min="29" max="29" width="22.5703125" style="180" customWidth="1"/>
    <col min="30" max="30" width="15.42578125" style="161" bestFit="1" customWidth="1"/>
    <col min="31" max="31" width="11" style="161" bestFit="1" customWidth="1"/>
    <col min="32" max="32" width="15" style="161" bestFit="1" customWidth="1"/>
    <col min="33" max="33" width="10.42578125" style="161" customWidth="1"/>
    <col min="34" max="16384" width="11.42578125" style="161"/>
  </cols>
  <sheetData>
    <row r="1" spans="1:50" x14ac:dyDescent="0.25">
      <c r="A1" s="578" t="s">
        <v>219</v>
      </c>
      <c r="B1" s="578" t="s">
        <v>525</v>
      </c>
      <c r="C1" s="578" t="s">
        <v>461</v>
      </c>
      <c r="D1" s="578" t="s">
        <v>220</v>
      </c>
      <c r="E1" s="578" t="s">
        <v>463</v>
      </c>
      <c r="F1" s="578" t="s">
        <v>2</v>
      </c>
      <c r="G1" s="578" t="s">
        <v>135</v>
      </c>
      <c r="H1" s="578" t="s">
        <v>134</v>
      </c>
      <c r="I1" s="578" t="s">
        <v>7</v>
      </c>
      <c r="J1" s="578" t="s">
        <v>221</v>
      </c>
      <c r="K1" s="578" t="s">
        <v>222</v>
      </c>
      <c r="L1" s="579" t="s">
        <v>443</v>
      </c>
      <c r="M1" s="579" t="s">
        <v>223</v>
      </c>
      <c r="N1" s="579" t="s">
        <v>224</v>
      </c>
      <c r="O1" s="578" t="s">
        <v>225</v>
      </c>
      <c r="P1" s="578" t="s">
        <v>462</v>
      </c>
      <c r="Q1" s="577" t="s">
        <v>226</v>
      </c>
      <c r="R1" s="581" t="s">
        <v>521</v>
      </c>
      <c r="S1" s="582" t="s">
        <v>522</v>
      </c>
      <c r="T1" s="576" t="s">
        <v>227</v>
      </c>
      <c r="U1" s="581" t="s">
        <v>523</v>
      </c>
      <c r="V1" s="582" t="s">
        <v>524</v>
      </c>
      <c r="W1" s="577" t="s">
        <v>227</v>
      </c>
      <c r="X1" s="577" t="s">
        <v>228</v>
      </c>
      <c r="Y1" s="577" t="s">
        <v>229</v>
      </c>
      <c r="Z1" s="577" t="s">
        <v>230</v>
      </c>
      <c r="AA1" s="577" t="s">
        <v>231</v>
      </c>
      <c r="AB1" s="577" t="s">
        <v>232</v>
      </c>
      <c r="AC1" s="577" t="s">
        <v>233</v>
      </c>
      <c r="AD1" s="580" t="s">
        <v>12</v>
      </c>
      <c r="AE1" s="580" t="s">
        <v>13</v>
      </c>
      <c r="AF1" s="580" t="s">
        <v>14</v>
      </c>
      <c r="AG1" s="580" t="s">
        <v>464</v>
      </c>
      <c r="AH1" s="580" t="s">
        <v>465</v>
      </c>
      <c r="AI1" s="580" t="s">
        <v>466</v>
      </c>
      <c r="AJ1" s="580" t="s">
        <v>467</v>
      </c>
      <c r="AK1" s="580" t="s">
        <v>468</v>
      </c>
      <c r="AL1" s="580" t="s">
        <v>469</v>
      </c>
      <c r="AM1" s="580" t="s">
        <v>470</v>
      </c>
      <c r="AN1" s="580" t="s">
        <v>471</v>
      </c>
      <c r="AO1" s="580" t="s">
        <v>472</v>
      </c>
      <c r="AP1" s="580" t="s">
        <v>473</v>
      </c>
      <c r="AQ1" s="580" t="s">
        <v>474</v>
      </c>
      <c r="AR1" s="580" t="s">
        <v>475</v>
      </c>
      <c r="AS1" s="580" t="s">
        <v>476</v>
      </c>
      <c r="AT1" s="580" t="s">
        <v>477</v>
      </c>
      <c r="AU1" s="580" t="s">
        <v>478</v>
      </c>
      <c r="AV1" s="580" t="s">
        <v>479</v>
      </c>
      <c r="AW1" s="580" t="s">
        <v>480</v>
      </c>
      <c r="AX1" s="580" t="s">
        <v>481</v>
      </c>
    </row>
    <row r="2" spans="1:50" x14ac:dyDescent="0.25">
      <c r="A2" s="162">
        <v>1</v>
      </c>
      <c r="B2" s="162">
        <v>24</v>
      </c>
      <c r="C2" s="162" t="s">
        <v>234</v>
      </c>
      <c r="D2" s="162" t="s">
        <v>234</v>
      </c>
      <c r="E2" s="162" t="s">
        <v>55</v>
      </c>
      <c r="F2" s="162" t="s">
        <v>235</v>
      </c>
      <c r="G2" s="162" t="s">
        <v>236</v>
      </c>
      <c r="H2" s="162" t="s">
        <v>237</v>
      </c>
      <c r="I2" s="162" t="s">
        <v>238</v>
      </c>
      <c r="J2" s="162" t="s">
        <v>239</v>
      </c>
      <c r="K2" s="163">
        <v>3.55</v>
      </c>
      <c r="L2" s="566" t="s">
        <v>482</v>
      </c>
      <c r="M2" s="566" t="s">
        <v>483</v>
      </c>
      <c r="N2" s="566" t="s">
        <v>484</v>
      </c>
      <c r="O2" s="164">
        <v>93931093.400000006</v>
      </c>
      <c r="P2" s="164" t="s">
        <v>485</v>
      </c>
      <c r="Q2" s="162" t="s">
        <v>240</v>
      </c>
      <c r="R2" s="165">
        <v>0.3</v>
      </c>
      <c r="S2" s="163">
        <f>Z2*R2</f>
        <v>24</v>
      </c>
      <c r="T2" s="163">
        <f>S2*3</f>
        <v>72</v>
      </c>
      <c r="U2" s="165">
        <f>AA2/Z2</f>
        <v>0.3</v>
      </c>
      <c r="V2" s="163">
        <f>Z2*U2</f>
        <v>24</v>
      </c>
      <c r="W2" s="163">
        <f>V2*3</f>
        <v>72</v>
      </c>
      <c r="X2" s="164">
        <f>O2/Z2</f>
        <v>1174138.6675</v>
      </c>
      <c r="Y2" s="164">
        <f>O2/AA2</f>
        <v>3913795.5583333336</v>
      </c>
      <c r="Z2" s="163">
        <v>80</v>
      </c>
      <c r="AA2" s="163">
        <v>24</v>
      </c>
      <c r="AB2" s="162" t="s">
        <v>241</v>
      </c>
      <c r="AC2" s="162" t="s">
        <v>242</v>
      </c>
      <c r="AD2" s="166">
        <v>0.94000000000000006</v>
      </c>
      <c r="AE2" s="166">
        <v>0.93</v>
      </c>
      <c r="AF2" s="166">
        <v>0.93800000000000017</v>
      </c>
      <c r="AG2" s="166">
        <v>1</v>
      </c>
      <c r="AH2" s="166">
        <v>0.9</v>
      </c>
      <c r="AI2" s="166">
        <v>0.9</v>
      </c>
      <c r="AJ2" s="166">
        <v>1</v>
      </c>
      <c r="AK2" s="166">
        <v>1</v>
      </c>
      <c r="AL2" s="166">
        <v>1</v>
      </c>
      <c r="AM2" s="166">
        <v>1</v>
      </c>
      <c r="AN2" s="166">
        <v>1</v>
      </c>
      <c r="AO2" s="166">
        <v>1</v>
      </c>
      <c r="AP2" s="166">
        <v>1</v>
      </c>
      <c r="AQ2" s="166">
        <v>1</v>
      </c>
      <c r="AR2" s="166">
        <v>1</v>
      </c>
      <c r="AS2" s="166">
        <v>0.5</v>
      </c>
      <c r="AT2" s="166">
        <v>0.5</v>
      </c>
      <c r="AU2" s="166">
        <v>1</v>
      </c>
      <c r="AV2" s="166">
        <v>1</v>
      </c>
      <c r="AW2" s="166">
        <v>0.5</v>
      </c>
      <c r="AX2" s="166">
        <v>0.5</v>
      </c>
    </row>
    <row r="3" spans="1:50" x14ac:dyDescent="0.25">
      <c r="A3" s="162">
        <v>2</v>
      </c>
      <c r="B3" s="162">
        <v>25</v>
      </c>
      <c r="C3" s="162" t="s">
        <v>243</v>
      </c>
      <c r="D3" s="162" t="s">
        <v>243</v>
      </c>
      <c r="E3" s="162" t="s">
        <v>182</v>
      </c>
      <c r="F3" s="162" t="s">
        <v>244</v>
      </c>
      <c r="G3" s="162" t="s">
        <v>245</v>
      </c>
      <c r="H3" s="162" t="s">
        <v>246</v>
      </c>
      <c r="I3" s="162" t="s">
        <v>247</v>
      </c>
      <c r="J3" s="162" t="s">
        <v>248</v>
      </c>
      <c r="K3" s="163">
        <v>3</v>
      </c>
      <c r="L3" s="566" t="s">
        <v>486</v>
      </c>
      <c r="M3" s="566" t="s">
        <v>487</v>
      </c>
      <c r="N3" s="566" t="s">
        <v>488</v>
      </c>
      <c r="O3" s="164">
        <v>511733189.5</v>
      </c>
      <c r="P3" s="164" t="s">
        <v>489</v>
      </c>
      <c r="Q3" s="162" t="s">
        <v>249</v>
      </c>
      <c r="R3" s="165">
        <v>0.3</v>
      </c>
      <c r="S3" s="163">
        <f>Z3*R3</f>
        <v>90.45</v>
      </c>
      <c r="T3" s="163">
        <f>S3*3</f>
        <v>271.35000000000002</v>
      </c>
      <c r="U3" s="165">
        <f>AA3/Z3</f>
        <v>0.30016583747927034</v>
      </c>
      <c r="V3" s="163">
        <f>Z3*U3</f>
        <v>90.5</v>
      </c>
      <c r="W3" s="163">
        <f>V3*3</f>
        <v>271.5</v>
      </c>
      <c r="X3" s="164">
        <f>O3/Z3</f>
        <v>1697290.8441127695</v>
      </c>
      <c r="Y3" s="164">
        <f>O3/AA3</f>
        <v>5654510.3812154699</v>
      </c>
      <c r="Z3" s="163">
        <v>301.5</v>
      </c>
      <c r="AA3" s="163">
        <v>90.5</v>
      </c>
      <c r="AB3" s="162" t="s">
        <v>250</v>
      </c>
      <c r="AC3" s="162" t="s">
        <v>183</v>
      </c>
      <c r="AD3" s="166">
        <v>0.54</v>
      </c>
      <c r="AE3" s="166">
        <v>0.44000000000000006</v>
      </c>
      <c r="AF3" s="166">
        <v>0.52</v>
      </c>
      <c r="AG3" s="166">
        <v>1</v>
      </c>
      <c r="AH3" s="166">
        <v>1</v>
      </c>
      <c r="AI3" s="166">
        <v>0.5</v>
      </c>
      <c r="AJ3" s="166">
        <v>0.5</v>
      </c>
      <c r="AK3" s="166">
        <v>0</v>
      </c>
      <c r="AL3" s="166">
        <v>0</v>
      </c>
      <c r="AM3" s="166">
        <v>0</v>
      </c>
      <c r="AN3" s="166">
        <v>0.7</v>
      </c>
      <c r="AO3" s="166">
        <v>0.7</v>
      </c>
      <c r="AP3" s="166">
        <v>1</v>
      </c>
      <c r="AQ3" s="166">
        <v>0.5</v>
      </c>
      <c r="AR3" s="166">
        <v>0.5</v>
      </c>
      <c r="AS3" s="166">
        <v>0.5</v>
      </c>
      <c r="AT3" s="166">
        <v>0.5</v>
      </c>
      <c r="AU3" s="166">
        <v>0</v>
      </c>
      <c r="AV3" s="166">
        <v>0</v>
      </c>
      <c r="AW3" s="166">
        <v>0</v>
      </c>
      <c r="AX3" s="166">
        <v>0</v>
      </c>
    </row>
    <row r="4" spans="1:50" x14ac:dyDescent="0.25">
      <c r="A4" s="162">
        <v>3</v>
      </c>
      <c r="B4" s="162">
        <v>26</v>
      </c>
      <c r="C4" s="162" t="s">
        <v>251</v>
      </c>
      <c r="D4" s="162" t="s">
        <v>251</v>
      </c>
      <c r="E4" s="162" t="s">
        <v>185</v>
      </c>
      <c r="F4" s="162" t="s">
        <v>244</v>
      </c>
      <c r="G4" s="162" t="s">
        <v>236</v>
      </c>
      <c r="H4" s="162" t="s">
        <v>252</v>
      </c>
      <c r="I4" s="162" t="s">
        <v>253</v>
      </c>
      <c r="J4" s="162" t="s">
        <v>254</v>
      </c>
      <c r="K4" s="163">
        <v>3</v>
      </c>
      <c r="L4" s="566" t="s">
        <v>490</v>
      </c>
      <c r="M4" s="566" t="s">
        <v>491</v>
      </c>
      <c r="N4" s="566" t="s">
        <v>488</v>
      </c>
      <c r="O4" s="164">
        <v>268429155.5</v>
      </c>
      <c r="P4" s="164" t="s">
        <v>489</v>
      </c>
      <c r="Q4" s="162" t="s">
        <v>249</v>
      </c>
      <c r="R4" s="165">
        <v>0.3</v>
      </c>
      <c r="S4" s="163">
        <f>Z4*R4</f>
        <v>60</v>
      </c>
      <c r="T4" s="163">
        <f>S4*3</f>
        <v>180</v>
      </c>
      <c r="U4" s="165">
        <f>AA4/Z4</f>
        <v>0.32500000000000001</v>
      </c>
      <c r="V4" s="163">
        <f>Z4*U4</f>
        <v>65</v>
      </c>
      <c r="W4" s="163">
        <f>V4*3</f>
        <v>195</v>
      </c>
      <c r="X4" s="164">
        <f>O4/Z4</f>
        <v>1342145.7775000001</v>
      </c>
      <c r="Y4" s="164">
        <f>O4/AA4</f>
        <v>4129679.3153846152</v>
      </c>
      <c r="Z4" s="163">
        <v>200</v>
      </c>
      <c r="AA4" s="163">
        <v>65</v>
      </c>
      <c r="AB4" s="162" t="s">
        <v>255</v>
      </c>
      <c r="AC4" s="162" t="s">
        <v>186</v>
      </c>
      <c r="AD4" s="166">
        <v>0.68</v>
      </c>
      <c r="AE4" s="166">
        <v>0.51500000000000001</v>
      </c>
      <c r="AF4" s="166">
        <v>0.64700000000000002</v>
      </c>
      <c r="AG4" s="166">
        <v>1</v>
      </c>
      <c r="AH4" s="166">
        <v>0.5</v>
      </c>
      <c r="AI4" s="166">
        <v>1</v>
      </c>
      <c r="AJ4" s="166">
        <v>0.7</v>
      </c>
      <c r="AK4" s="166">
        <v>0.5</v>
      </c>
      <c r="AL4" s="166">
        <v>0</v>
      </c>
      <c r="AM4" s="166">
        <v>0</v>
      </c>
      <c r="AN4" s="166">
        <v>0.7</v>
      </c>
      <c r="AO4" s="166">
        <v>0.7</v>
      </c>
      <c r="AP4" s="166">
        <v>1</v>
      </c>
      <c r="AQ4" s="166">
        <v>1</v>
      </c>
      <c r="AR4" s="166">
        <v>0</v>
      </c>
      <c r="AS4" s="166">
        <v>0</v>
      </c>
      <c r="AT4" s="166">
        <v>0</v>
      </c>
      <c r="AU4" s="166">
        <v>0.5</v>
      </c>
      <c r="AV4" s="166">
        <v>0</v>
      </c>
      <c r="AW4" s="166">
        <v>0.5</v>
      </c>
      <c r="AX4" s="166">
        <v>0.5</v>
      </c>
    </row>
    <row r="5" spans="1:50" x14ac:dyDescent="0.25">
      <c r="A5" s="162">
        <v>4</v>
      </c>
      <c r="B5" s="162">
        <v>27</v>
      </c>
      <c r="C5" s="162" t="s">
        <v>256</v>
      </c>
      <c r="D5" s="162" t="s">
        <v>256</v>
      </c>
      <c r="E5" s="162" t="s">
        <v>74</v>
      </c>
      <c r="F5" s="162" t="s">
        <v>257</v>
      </c>
      <c r="G5" s="162" t="s">
        <v>236</v>
      </c>
      <c r="H5" s="162" t="s">
        <v>258</v>
      </c>
      <c r="I5" s="162" t="s">
        <v>259</v>
      </c>
      <c r="J5" s="162" t="s">
        <v>260</v>
      </c>
      <c r="K5" s="163">
        <v>4</v>
      </c>
      <c r="L5" s="566" t="s">
        <v>492</v>
      </c>
      <c r="M5" s="566" t="s">
        <v>493</v>
      </c>
      <c r="N5" s="566" t="s">
        <v>494</v>
      </c>
      <c r="O5" s="164">
        <v>152328187</v>
      </c>
      <c r="P5" s="164" t="s">
        <v>485</v>
      </c>
      <c r="Q5" s="162" t="s">
        <v>261</v>
      </c>
      <c r="R5" s="165">
        <v>0.3</v>
      </c>
      <c r="S5" s="163">
        <f>Z5*R5</f>
        <v>27</v>
      </c>
      <c r="T5" s="163">
        <f>S5*3</f>
        <v>81</v>
      </c>
      <c r="U5" s="165">
        <f>AA5/Z5</f>
        <v>1</v>
      </c>
      <c r="V5" s="163">
        <f>Z5*U5</f>
        <v>90</v>
      </c>
      <c r="W5" s="163">
        <f>V5*3</f>
        <v>270</v>
      </c>
      <c r="X5" s="164">
        <f>O5/Z5</f>
        <v>1692535.4111111111</v>
      </c>
      <c r="Y5" s="164">
        <f>O5/AA5</f>
        <v>1692535.4111111111</v>
      </c>
      <c r="Z5" s="163">
        <v>90</v>
      </c>
      <c r="AA5" s="163">
        <v>90</v>
      </c>
      <c r="AB5" s="162" t="s">
        <v>262</v>
      </c>
      <c r="AC5" s="162" t="s">
        <v>75</v>
      </c>
      <c r="AD5" s="166">
        <v>0.82500000000000018</v>
      </c>
      <c r="AE5" s="166">
        <v>0.80500000000000016</v>
      </c>
      <c r="AF5" s="166">
        <v>0.82100000000000017</v>
      </c>
      <c r="AG5" s="166">
        <v>1</v>
      </c>
      <c r="AH5" s="166">
        <v>0.8</v>
      </c>
      <c r="AI5" s="166">
        <v>0.9</v>
      </c>
      <c r="AJ5" s="166">
        <v>0.8</v>
      </c>
      <c r="AK5" s="166">
        <v>0.8</v>
      </c>
      <c r="AL5" s="166">
        <v>0.5</v>
      </c>
      <c r="AM5" s="166">
        <v>0.5</v>
      </c>
      <c r="AN5" s="166">
        <v>0.8</v>
      </c>
      <c r="AO5" s="166">
        <v>0.8</v>
      </c>
      <c r="AP5" s="166">
        <v>1</v>
      </c>
      <c r="AQ5" s="166">
        <v>0.5</v>
      </c>
      <c r="AR5" s="166">
        <v>0.5</v>
      </c>
      <c r="AS5" s="166">
        <v>1</v>
      </c>
      <c r="AT5" s="166">
        <v>1</v>
      </c>
      <c r="AU5" s="166">
        <v>0.8</v>
      </c>
      <c r="AV5" s="166">
        <v>0.8</v>
      </c>
      <c r="AW5" s="166">
        <v>1</v>
      </c>
      <c r="AX5" s="166">
        <v>1</v>
      </c>
    </row>
    <row r="6" spans="1:50" x14ac:dyDescent="0.25">
      <c r="A6" s="162">
        <v>5</v>
      </c>
      <c r="B6" s="162">
        <v>2</v>
      </c>
      <c r="C6" s="162" t="s">
        <v>263</v>
      </c>
      <c r="D6" s="162" t="s">
        <v>263</v>
      </c>
      <c r="E6" s="162" t="s">
        <v>123</v>
      </c>
      <c r="F6" s="162" t="s">
        <v>264</v>
      </c>
      <c r="G6" s="162" t="s">
        <v>236</v>
      </c>
      <c r="H6" s="162" t="s">
        <v>265</v>
      </c>
      <c r="I6" s="162" t="s">
        <v>266</v>
      </c>
      <c r="J6" s="162" t="s">
        <v>267</v>
      </c>
      <c r="K6" s="163">
        <v>3</v>
      </c>
      <c r="L6" s="566" t="s">
        <v>486</v>
      </c>
      <c r="M6" s="566" t="s">
        <v>495</v>
      </c>
      <c r="N6" s="566" t="s">
        <v>488</v>
      </c>
      <c r="O6" s="164">
        <v>60278577.799999997</v>
      </c>
      <c r="P6" s="164" t="s">
        <v>485</v>
      </c>
      <c r="Q6" s="162" t="s">
        <v>268</v>
      </c>
      <c r="R6" s="165">
        <v>0.3</v>
      </c>
      <c r="S6" s="163">
        <f>Z6*R6</f>
        <v>16.2</v>
      </c>
      <c r="T6" s="163">
        <f>S6*3</f>
        <v>48.599999999999994</v>
      </c>
      <c r="U6" s="165">
        <f>AA6/Z6</f>
        <v>0.34074074074074073</v>
      </c>
      <c r="V6" s="163">
        <f>Z6*U6</f>
        <v>18.399999999999999</v>
      </c>
      <c r="W6" s="163">
        <f>V6*3</f>
        <v>55.199999999999996</v>
      </c>
      <c r="X6" s="164">
        <f>O6/Z6</f>
        <v>1116269.9592592593</v>
      </c>
      <c r="Y6" s="164">
        <f>O6/AA6</f>
        <v>3276009.6630434785</v>
      </c>
      <c r="Z6" s="163">
        <v>54</v>
      </c>
      <c r="AA6" s="163">
        <v>18.399999999999999</v>
      </c>
      <c r="AB6" s="162" t="s">
        <v>269</v>
      </c>
      <c r="AC6" s="162" t="s">
        <v>270</v>
      </c>
      <c r="AD6" s="166">
        <v>0.77000000000000024</v>
      </c>
      <c r="AE6" s="166">
        <v>0.52500000000000002</v>
      </c>
      <c r="AF6" s="166">
        <v>0.7210000000000002</v>
      </c>
      <c r="AG6" s="166">
        <v>1</v>
      </c>
      <c r="AH6" s="166">
        <v>0</v>
      </c>
      <c r="AI6" s="166">
        <v>1</v>
      </c>
      <c r="AJ6" s="166">
        <v>0.5</v>
      </c>
      <c r="AK6" s="166">
        <v>0.5</v>
      </c>
      <c r="AL6" s="166">
        <v>1</v>
      </c>
      <c r="AM6" s="166">
        <v>0</v>
      </c>
      <c r="AN6" s="166">
        <v>0.9</v>
      </c>
      <c r="AO6" s="166">
        <v>0.9</v>
      </c>
      <c r="AP6" s="166">
        <v>0</v>
      </c>
      <c r="AQ6" s="166">
        <v>0.9</v>
      </c>
      <c r="AR6" s="166">
        <v>0</v>
      </c>
      <c r="AS6" s="166">
        <v>1</v>
      </c>
      <c r="AT6" s="166">
        <v>1</v>
      </c>
      <c r="AU6" s="166">
        <v>1</v>
      </c>
      <c r="AV6" s="166">
        <v>1</v>
      </c>
      <c r="AW6" s="166">
        <v>0.9</v>
      </c>
      <c r="AX6" s="166">
        <v>0.9</v>
      </c>
    </row>
    <row r="7" spans="1:50" x14ac:dyDescent="0.25">
      <c r="A7" s="162">
        <v>6</v>
      </c>
      <c r="B7" s="162">
        <v>39</v>
      </c>
      <c r="C7" s="162" t="s">
        <v>271</v>
      </c>
      <c r="D7" s="162" t="s">
        <v>271</v>
      </c>
      <c r="E7" s="162" t="s">
        <v>213</v>
      </c>
      <c r="F7" s="162" t="s">
        <v>272</v>
      </c>
      <c r="G7" s="162" t="s">
        <v>245</v>
      </c>
      <c r="H7" s="162" t="s">
        <v>273</v>
      </c>
      <c r="I7" s="162" t="s">
        <v>274</v>
      </c>
      <c r="J7" s="162" t="s">
        <v>275</v>
      </c>
      <c r="K7" s="163">
        <v>3</v>
      </c>
      <c r="L7" s="566" t="s">
        <v>496</v>
      </c>
      <c r="M7" s="566" t="s">
        <v>497</v>
      </c>
      <c r="N7" s="566" t="s">
        <v>494</v>
      </c>
      <c r="O7" s="164">
        <v>800323710.20000005</v>
      </c>
      <c r="P7" s="164" t="s">
        <v>489</v>
      </c>
      <c r="Q7" s="162" t="s">
        <v>276</v>
      </c>
      <c r="R7" s="165">
        <v>0.3</v>
      </c>
      <c r="S7" s="163">
        <f>Z7*R7</f>
        <v>150.9</v>
      </c>
      <c r="T7" s="163">
        <f>S7*3</f>
        <v>452.70000000000005</v>
      </c>
      <c r="U7" s="165">
        <f>AA7/Z7</f>
        <v>0.30019880715705766</v>
      </c>
      <c r="V7" s="163">
        <f>Z7*U7</f>
        <v>151</v>
      </c>
      <c r="W7" s="163">
        <f>V7*3</f>
        <v>453</v>
      </c>
      <c r="X7" s="164">
        <f>O7/Z7</f>
        <v>1591100.8155069584</v>
      </c>
      <c r="Y7" s="164">
        <f>O7/AA7</f>
        <v>5300157.0211920533</v>
      </c>
      <c r="Z7" s="163">
        <v>503</v>
      </c>
      <c r="AA7" s="163">
        <v>151</v>
      </c>
      <c r="AB7" s="162" t="s">
        <v>277</v>
      </c>
      <c r="AC7" s="162" t="s">
        <v>211</v>
      </c>
      <c r="AD7" s="166">
        <v>0.55500000000000005</v>
      </c>
      <c r="AE7" s="166">
        <v>0.27500000000000002</v>
      </c>
      <c r="AF7" s="166">
        <v>0.49900000000000005</v>
      </c>
      <c r="AG7" s="166">
        <v>0.8</v>
      </c>
      <c r="AH7" s="166">
        <v>0.5</v>
      </c>
      <c r="AI7" s="166">
        <v>1</v>
      </c>
      <c r="AJ7" s="166">
        <v>0.5</v>
      </c>
      <c r="AK7" s="166">
        <v>0</v>
      </c>
      <c r="AL7" s="166">
        <v>0</v>
      </c>
      <c r="AM7" s="166">
        <v>0</v>
      </c>
      <c r="AN7" s="166">
        <v>0.5</v>
      </c>
      <c r="AO7" s="166">
        <v>0</v>
      </c>
      <c r="AP7" s="166">
        <v>1</v>
      </c>
      <c r="AQ7" s="166">
        <v>0.5</v>
      </c>
      <c r="AR7" s="166">
        <v>0</v>
      </c>
      <c r="AS7" s="166">
        <v>0.5</v>
      </c>
      <c r="AT7" s="166">
        <v>0</v>
      </c>
      <c r="AU7" s="166">
        <v>0.5</v>
      </c>
      <c r="AV7" s="166">
        <v>0.5</v>
      </c>
      <c r="AW7" s="166">
        <v>0</v>
      </c>
      <c r="AX7" s="166">
        <v>0</v>
      </c>
    </row>
    <row r="8" spans="1:50" x14ac:dyDescent="0.25">
      <c r="A8" s="162">
        <v>7</v>
      </c>
      <c r="B8" s="162">
        <v>36</v>
      </c>
      <c r="C8" s="162" t="s">
        <v>278</v>
      </c>
      <c r="D8" s="162" t="s">
        <v>278</v>
      </c>
      <c r="E8" s="162" t="s">
        <v>209</v>
      </c>
      <c r="F8" s="162" t="s">
        <v>272</v>
      </c>
      <c r="G8" s="162" t="s">
        <v>245</v>
      </c>
      <c r="H8" s="162" t="s">
        <v>279</v>
      </c>
      <c r="I8" s="162" t="s">
        <v>280</v>
      </c>
      <c r="J8" s="162" t="s">
        <v>281</v>
      </c>
      <c r="K8" s="163">
        <v>3</v>
      </c>
      <c r="L8" s="566" t="s">
        <v>496</v>
      </c>
      <c r="M8" s="566" t="s">
        <v>497</v>
      </c>
      <c r="N8" s="566" t="s">
        <v>494</v>
      </c>
      <c r="O8" s="164">
        <v>764221135</v>
      </c>
      <c r="P8" s="164" t="s">
        <v>489</v>
      </c>
      <c r="Q8" s="162" t="s">
        <v>276</v>
      </c>
      <c r="R8" s="165">
        <v>0.3</v>
      </c>
      <c r="S8" s="163">
        <f>Z8*R8</f>
        <v>140.4</v>
      </c>
      <c r="T8" s="163">
        <f>S8*3</f>
        <v>421.20000000000005</v>
      </c>
      <c r="U8" s="165">
        <f>AA8/Z8</f>
        <v>0.3</v>
      </c>
      <c r="V8" s="163">
        <f>Z8*U8</f>
        <v>140.4</v>
      </c>
      <c r="W8" s="163">
        <f>V8*3</f>
        <v>421.20000000000005</v>
      </c>
      <c r="X8" s="164">
        <f>O8/Z8</f>
        <v>1632951.1431623932</v>
      </c>
      <c r="Y8" s="164">
        <f>O8/AA8</f>
        <v>5443170.4772079773</v>
      </c>
      <c r="Z8" s="163">
        <v>468</v>
      </c>
      <c r="AA8" s="163">
        <v>140.4</v>
      </c>
      <c r="AB8" s="162" t="s">
        <v>277</v>
      </c>
      <c r="AC8" s="162" t="s">
        <v>108</v>
      </c>
      <c r="AD8" s="166">
        <v>0.33500000000000008</v>
      </c>
      <c r="AE8" s="166">
        <v>0.25</v>
      </c>
      <c r="AF8" s="166">
        <v>0.31800000000000006</v>
      </c>
      <c r="AG8" s="166">
        <v>0.6</v>
      </c>
      <c r="AH8" s="166">
        <v>0.5</v>
      </c>
      <c r="AI8" s="166">
        <v>1</v>
      </c>
      <c r="AJ8" s="166">
        <v>0</v>
      </c>
      <c r="AK8" s="166">
        <v>0</v>
      </c>
      <c r="AL8" s="166">
        <v>0</v>
      </c>
      <c r="AM8" s="166">
        <v>0</v>
      </c>
      <c r="AN8" s="166">
        <v>0</v>
      </c>
      <c r="AO8" s="166">
        <v>0</v>
      </c>
      <c r="AP8" s="166">
        <v>1</v>
      </c>
      <c r="AQ8" s="166">
        <v>0.5</v>
      </c>
      <c r="AR8" s="166">
        <v>0</v>
      </c>
      <c r="AS8" s="166">
        <v>0.5</v>
      </c>
      <c r="AT8" s="166">
        <v>0</v>
      </c>
      <c r="AU8" s="166">
        <v>0.5</v>
      </c>
      <c r="AV8" s="166">
        <v>0</v>
      </c>
      <c r="AW8" s="166">
        <v>0</v>
      </c>
      <c r="AX8" s="166">
        <v>0</v>
      </c>
    </row>
    <row r="9" spans="1:50" x14ac:dyDescent="0.25">
      <c r="A9" s="162">
        <v>8</v>
      </c>
      <c r="B9" s="162">
        <v>31</v>
      </c>
      <c r="C9" s="162" t="s">
        <v>282</v>
      </c>
      <c r="D9" s="162" t="s">
        <v>282</v>
      </c>
      <c r="E9" s="162" t="s">
        <v>197</v>
      </c>
      <c r="F9" s="162" t="s">
        <v>283</v>
      </c>
      <c r="G9" s="162" t="s">
        <v>236</v>
      </c>
      <c r="H9" s="162" t="s">
        <v>284</v>
      </c>
      <c r="I9" s="162" t="s">
        <v>285</v>
      </c>
      <c r="J9" s="162" t="s">
        <v>286</v>
      </c>
      <c r="K9" s="163">
        <v>3.18</v>
      </c>
      <c r="L9" s="566" t="s">
        <v>498</v>
      </c>
      <c r="M9" s="566" t="s">
        <v>497</v>
      </c>
      <c r="N9" s="566" t="s">
        <v>484</v>
      </c>
      <c r="O9" s="164">
        <v>78344588</v>
      </c>
      <c r="P9" s="164" t="s">
        <v>489</v>
      </c>
      <c r="Q9" s="162" t="s">
        <v>287</v>
      </c>
      <c r="R9" s="165">
        <v>0.3</v>
      </c>
      <c r="S9" s="163">
        <f>Z9*R9</f>
        <v>22.5</v>
      </c>
      <c r="T9" s="163">
        <f>S9*3</f>
        <v>67.5</v>
      </c>
      <c r="U9" s="165">
        <f>AA9/Z9</f>
        <v>0.3</v>
      </c>
      <c r="V9" s="163">
        <f>Z9*U9</f>
        <v>22.5</v>
      </c>
      <c r="W9" s="163">
        <f>V9*3</f>
        <v>67.5</v>
      </c>
      <c r="X9" s="164">
        <f>O9/Z9</f>
        <v>1044594.5066666667</v>
      </c>
      <c r="Y9" s="164">
        <f>O9/AA9</f>
        <v>3481981.6888888888</v>
      </c>
      <c r="Z9" s="163">
        <v>75</v>
      </c>
      <c r="AA9" s="163">
        <v>22.5</v>
      </c>
      <c r="AB9" s="162" t="s">
        <v>288</v>
      </c>
      <c r="AC9" s="162" t="s">
        <v>289</v>
      </c>
      <c r="AD9" s="166">
        <v>0.65500000000000003</v>
      </c>
      <c r="AE9" s="166">
        <v>0.43</v>
      </c>
      <c r="AF9" s="166">
        <v>0.61</v>
      </c>
      <c r="AG9" s="166">
        <v>1</v>
      </c>
      <c r="AH9" s="166">
        <v>0</v>
      </c>
      <c r="AI9" s="166">
        <v>1</v>
      </c>
      <c r="AJ9" s="166">
        <v>0.7</v>
      </c>
      <c r="AK9" s="166">
        <v>0.7</v>
      </c>
      <c r="AL9" s="166">
        <v>1</v>
      </c>
      <c r="AM9" s="166">
        <v>0</v>
      </c>
      <c r="AN9" s="166">
        <v>0.7</v>
      </c>
      <c r="AO9" s="166">
        <v>0.7</v>
      </c>
      <c r="AP9" s="166">
        <v>0</v>
      </c>
      <c r="AQ9" s="166">
        <v>0.5</v>
      </c>
      <c r="AR9" s="166">
        <v>0</v>
      </c>
      <c r="AS9" s="166">
        <v>1</v>
      </c>
      <c r="AT9" s="166">
        <v>1</v>
      </c>
      <c r="AU9" s="166">
        <v>0</v>
      </c>
      <c r="AV9" s="166">
        <v>0</v>
      </c>
      <c r="AW9" s="166">
        <v>0</v>
      </c>
      <c r="AX9" s="166">
        <v>0</v>
      </c>
    </row>
    <row r="10" spans="1:50" x14ac:dyDescent="0.25">
      <c r="A10" s="162">
        <v>9</v>
      </c>
      <c r="B10" s="162">
        <v>30</v>
      </c>
      <c r="C10" s="162" t="s">
        <v>290</v>
      </c>
      <c r="D10" s="162" t="s">
        <v>290</v>
      </c>
      <c r="E10" s="162" t="s">
        <v>193</v>
      </c>
      <c r="F10" s="162" t="s">
        <v>283</v>
      </c>
      <c r="G10" s="162" t="s">
        <v>236</v>
      </c>
      <c r="H10" s="162" t="s">
        <v>291</v>
      </c>
      <c r="I10" s="162" t="s">
        <v>292</v>
      </c>
      <c r="J10" s="162" t="s">
        <v>293</v>
      </c>
      <c r="K10" s="163">
        <v>3.08</v>
      </c>
      <c r="L10" s="566" t="s">
        <v>498</v>
      </c>
      <c r="M10" s="566" t="s">
        <v>499</v>
      </c>
      <c r="N10" s="566" t="s">
        <v>484</v>
      </c>
      <c r="O10" s="164">
        <v>119934283</v>
      </c>
      <c r="P10" s="164" t="s">
        <v>489</v>
      </c>
      <c r="Q10" s="162" t="s">
        <v>287</v>
      </c>
      <c r="R10" s="165">
        <v>0.3</v>
      </c>
      <c r="S10" s="163">
        <f>Z10*R10</f>
        <v>33</v>
      </c>
      <c r="T10" s="163">
        <f>S10*3</f>
        <v>99</v>
      </c>
      <c r="U10" s="165">
        <f>AA10/Z10</f>
        <v>0.3</v>
      </c>
      <c r="V10" s="163">
        <f>Z10*U10</f>
        <v>33</v>
      </c>
      <c r="W10" s="163">
        <f>V10*3</f>
        <v>99</v>
      </c>
      <c r="X10" s="164">
        <f>O10/Z10</f>
        <v>1090311.6636363636</v>
      </c>
      <c r="Y10" s="164">
        <f>O10/AA10</f>
        <v>3634372.2121212119</v>
      </c>
      <c r="Z10" s="163">
        <v>110</v>
      </c>
      <c r="AA10" s="163">
        <v>33</v>
      </c>
      <c r="AB10" s="162" t="s">
        <v>294</v>
      </c>
      <c r="AC10" s="162" t="s">
        <v>194</v>
      </c>
      <c r="AD10" s="166">
        <v>0.64000000000000012</v>
      </c>
      <c r="AE10" s="166">
        <v>0.64000000000000012</v>
      </c>
      <c r="AF10" s="166">
        <v>0.64000000000000012</v>
      </c>
      <c r="AG10" s="166">
        <v>1</v>
      </c>
      <c r="AH10" s="166">
        <v>1</v>
      </c>
      <c r="AI10" s="166">
        <v>1</v>
      </c>
      <c r="AJ10" s="166">
        <v>0.9</v>
      </c>
      <c r="AK10" s="166">
        <v>0.9</v>
      </c>
      <c r="AL10" s="166">
        <v>0</v>
      </c>
      <c r="AM10" s="166">
        <v>0</v>
      </c>
      <c r="AN10" s="166">
        <v>0.8</v>
      </c>
      <c r="AO10" s="166">
        <v>0.8</v>
      </c>
      <c r="AP10" s="166">
        <v>0</v>
      </c>
      <c r="AQ10" s="166">
        <v>0</v>
      </c>
      <c r="AR10" s="166">
        <v>0</v>
      </c>
      <c r="AS10" s="166">
        <v>1</v>
      </c>
      <c r="AT10" s="166">
        <v>1</v>
      </c>
      <c r="AU10" s="166">
        <v>0</v>
      </c>
      <c r="AV10" s="166">
        <v>0</v>
      </c>
      <c r="AW10" s="166">
        <v>1</v>
      </c>
      <c r="AX10" s="166">
        <v>1</v>
      </c>
    </row>
    <row r="11" spans="1:50" x14ac:dyDescent="0.25">
      <c r="A11" s="162">
        <v>10</v>
      </c>
      <c r="B11" s="162">
        <v>29</v>
      </c>
      <c r="C11" s="162" t="s">
        <v>295</v>
      </c>
      <c r="D11" s="162" t="s">
        <v>295</v>
      </c>
      <c r="E11" s="162" t="s">
        <v>91</v>
      </c>
      <c r="F11" s="162" t="s">
        <v>283</v>
      </c>
      <c r="G11" s="162" t="s">
        <v>236</v>
      </c>
      <c r="H11" s="162" t="s">
        <v>296</v>
      </c>
      <c r="I11" s="162" t="s">
        <v>297</v>
      </c>
      <c r="J11" s="162" t="s">
        <v>298</v>
      </c>
      <c r="K11" s="167">
        <v>3.016</v>
      </c>
      <c r="L11" s="566" t="s">
        <v>500</v>
      </c>
      <c r="M11" s="566" t="s">
        <v>501</v>
      </c>
      <c r="N11" s="566" t="s">
        <v>484</v>
      </c>
      <c r="O11" s="164">
        <v>18768631.300000001</v>
      </c>
      <c r="P11" s="164" t="s">
        <v>485</v>
      </c>
      <c r="Q11" s="162" t="s">
        <v>287</v>
      </c>
      <c r="R11" s="165">
        <v>0.3</v>
      </c>
      <c r="S11" s="163">
        <f>Z11*R11</f>
        <v>5.76</v>
      </c>
      <c r="T11" s="163">
        <f>S11*3</f>
        <v>17.28</v>
      </c>
      <c r="U11" s="165">
        <f>AA11/Z11</f>
        <v>0.31770833333333331</v>
      </c>
      <c r="V11" s="163">
        <f>Z11*U11</f>
        <v>6.1</v>
      </c>
      <c r="W11" s="163">
        <f>V11*3</f>
        <v>18.299999999999997</v>
      </c>
      <c r="X11" s="164">
        <f>O11/Z11</f>
        <v>977532.88020833337</v>
      </c>
      <c r="Y11" s="164">
        <f>O11/AA11</f>
        <v>3076824.8032786888</v>
      </c>
      <c r="Z11" s="163">
        <v>19.2</v>
      </c>
      <c r="AA11" s="163">
        <v>6.1</v>
      </c>
      <c r="AB11" s="162" t="s">
        <v>299</v>
      </c>
      <c r="AC11" s="162" t="s">
        <v>92</v>
      </c>
      <c r="AD11" s="166">
        <v>0.86000000000000021</v>
      </c>
      <c r="AE11" s="166">
        <v>0.77000000000000013</v>
      </c>
      <c r="AF11" s="166">
        <v>0.84200000000000019</v>
      </c>
      <c r="AG11" s="166">
        <v>0.9</v>
      </c>
      <c r="AH11" s="166">
        <v>0</v>
      </c>
      <c r="AI11" s="166">
        <v>1</v>
      </c>
      <c r="AJ11" s="166">
        <v>0.8</v>
      </c>
      <c r="AK11" s="166">
        <v>0.8</v>
      </c>
      <c r="AL11" s="166">
        <v>1</v>
      </c>
      <c r="AM11" s="166">
        <v>1</v>
      </c>
      <c r="AN11" s="166">
        <v>1</v>
      </c>
      <c r="AO11" s="166">
        <v>1</v>
      </c>
      <c r="AP11" s="166">
        <v>1</v>
      </c>
      <c r="AQ11" s="166">
        <v>0.7</v>
      </c>
      <c r="AR11" s="166">
        <v>0.7</v>
      </c>
      <c r="AS11" s="166">
        <v>1</v>
      </c>
      <c r="AT11" s="166">
        <v>1</v>
      </c>
      <c r="AU11" s="166">
        <v>0</v>
      </c>
      <c r="AV11" s="166">
        <v>0</v>
      </c>
      <c r="AW11" s="166">
        <v>0.5</v>
      </c>
      <c r="AX11" s="166">
        <v>0.5</v>
      </c>
    </row>
    <row r="12" spans="1:50" x14ac:dyDescent="0.25">
      <c r="A12" s="162">
        <v>11</v>
      </c>
      <c r="B12" s="162">
        <v>22</v>
      </c>
      <c r="C12" s="211" t="s">
        <v>300</v>
      </c>
      <c r="D12" s="162" t="s">
        <v>300</v>
      </c>
      <c r="E12" s="162" t="s">
        <v>178</v>
      </c>
      <c r="F12" s="162" t="s">
        <v>235</v>
      </c>
      <c r="G12" s="162" t="s">
        <v>236</v>
      </c>
      <c r="H12" s="162" t="s">
        <v>301</v>
      </c>
      <c r="I12" s="162" t="s">
        <v>302</v>
      </c>
      <c r="J12" s="162" t="s">
        <v>303</v>
      </c>
      <c r="K12" s="163">
        <v>3.66</v>
      </c>
      <c r="L12" s="566" t="s">
        <v>502</v>
      </c>
      <c r="M12" s="566" t="s">
        <v>503</v>
      </c>
      <c r="N12" s="566" t="s">
        <v>484</v>
      </c>
      <c r="O12" s="164">
        <v>158930216.19999999</v>
      </c>
      <c r="P12" s="164" t="s">
        <v>485</v>
      </c>
      <c r="Q12" s="162" t="s">
        <v>304</v>
      </c>
      <c r="R12" s="165">
        <v>0.3</v>
      </c>
      <c r="S12" s="163">
        <f>Z12*R12</f>
        <v>36.96</v>
      </c>
      <c r="T12" s="163">
        <f>S12*3</f>
        <v>110.88</v>
      </c>
      <c r="U12" s="165">
        <f>AA12/Z12</f>
        <v>0.3</v>
      </c>
      <c r="V12" s="163">
        <f>Z12*U12</f>
        <v>36.96</v>
      </c>
      <c r="W12" s="163">
        <f>V12*3</f>
        <v>110.88</v>
      </c>
      <c r="X12" s="164">
        <f>O12/Z12</f>
        <v>1290017.9886363635</v>
      </c>
      <c r="Y12" s="164">
        <f>O12/AA12</f>
        <v>4300059.9621212119</v>
      </c>
      <c r="Z12" s="163">
        <v>123.2</v>
      </c>
      <c r="AA12" s="163">
        <v>36.96</v>
      </c>
      <c r="AB12" s="162" t="s">
        <v>305</v>
      </c>
      <c r="AC12" s="162" t="s">
        <v>306</v>
      </c>
      <c r="AD12" s="166">
        <v>0.83000000000000018</v>
      </c>
      <c r="AE12" s="166">
        <v>0.78500000000000025</v>
      </c>
      <c r="AF12" s="166">
        <v>0.82100000000000017</v>
      </c>
      <c r="AG12" s="166">
        <v>1</v>
      </c>
      <c r="AH12" s="166">
        <v>0.75</v>
      </c>
      <c r="AI12" s="166">
        <v>1</v>
      </c>
      <c r="AJ12" s="166">
        <v>0.9</v>
      </c>
      <c r="AK12" s="166">
        <v>0.8</v>
      </c>
      <c r="AL12" s="166">
        <v>0.5</v>
      </c>
      <c r="AM12" s="166">
        <v>0.5</v>
      </c>
      <c r="AN12" s="166">
        <v>1</v>
      </c>
      <c r="AO12" s="166">
        <v>1</v>
      </c>
      <c r="AP12" s="166">
        <v>0.2</v>
      </c>
      <c r="AQ12" s="166">
        <v>0.6</v>
      </c>
      <c r="AR12" s="166">
        <v>0.6</v>
      </c>
      <c r="AS12" s="166">
        <v>1</v>
      </c>
      <c r="AT12" s="166">
        <v>1</v>
      </c>
      <c r="AU12" s="166">
        <v>1</v>
      </c>
      <c r="AV12" s="166">
        <v>1</v>
      </c>
      <c r="AW12" s="166">
        <v>1</v>
      </c>
      <c r="AX12" s="166">
        <v>1</v>
      </c>
    </row>
    <row r="13" spans="1:50" x14ac:dyDescent="0.25">
      <c r="A13" s="162">
        <v>12</v>
      </c>
      <c r="B13" s="162">
        <v>23</v>
      </c>
      <c r="C13" s="162" t="s">
        <v>307</v>
      </c>
      <c r="D13" s="162" t="s">
        <v>307</v>
      </c>
      <c r="E13" s="162" t="s">
        <v>116</v>
      </c>
      <c r="F13" s="162" t="s">
        <v>235</v>
      </c>
      <c r="G13" s="162" t="s">
        <v>236</v>
      </c>
      <c r="H13" s="162" t="s">
        <v>308</v>
      </c>
      <c r="I13" s="162" t="s">
        <v>309</v>
      </c>
      <c r="J13" s="162" t="s">
        <v>310</v>
      </c>
      <c r="K13" s="163">
        <v>3.6</v>
      </c>
      <c r="L13" s="566" t="s">
        <v>502</v>
      </c>
      <c r="M13" s="566" t="s">
        <v>504</v>
      </c>
      <c r="N13" s="566" t="s">
        <v>484</v>
      </c>
      <c r="O13" s="164">
        <v>420828931.19999999</v>
      </c>
      <c r="P13" s="164" t="s">
        <v>489</v>
      </c>
      <c r="Q13" s="162" t="s">
        <v>311</v>
      </c>
      <c r="R13" s="165">
        <v>0.3</v>
      </c>
      <c r="S13" s="163">
        <f>Z13*R13</f>
        <v>136.70400000000001</v>
      </c>
      <c r="T13" s="163">
        <f>S13*3</f>
        <v>410.11200000000002</v>
      </c>
      <c r="U13" s="165">
        <f>AA13/Z13</f>
        <v>0.29999122191011235</v>
      </c>
      <c r="V13" s="163">
        <f>Z13*U13</f>
        <v>136.69999999999999</v>
      </c>
      <c r="W13" s="163">
        <f>V13*3</f>
        <v>410.09999999999997</v>
      </c>
      <c r="X13" s="164">
        <f>O13/Z13</f>
        <v>923518.54634831462</v>
      </c>
      <c r="Y13" s="164">
        <f>O13/AA13</f>
        <v>3078485.2318946598</v>
      </c>
      <c r="Z13" s="163">
        <v>455.68</v>
      </c>
      <c r="AA13" s="163">
        <v>136.69999999999999</v>
      </c>
      <c r="AB13" s="162" t="s">
        <v>312</v>
      </c>
      <c r="AC13" s="162" t="s">
        <v>117</v>
      </c>
      <c r="AD13" s="166">
        <v>0.76000000000000023</v>
      </c>
      <c r="AE13" s="166">
        <v>0.5950000000000002</v>
      </c>
      <c r="AF13" s="166">
        <v>0.72700000000000031</v>
      </c>
      <c r="AG13" s="166">
        <v>1</v>
      </c>
      <c r="AH13" s="166">
        <v>0.75</v>
      </c>
      <c r="AI13" s="166">
        <v>0.9</v>
      </c>
      <c r="AJ13" s="166">
        <v>0.8</v>
      </c>
      <c r="AK13" s="166">
        <v>0.8</v>
      </c>
      <c r="AL13" s="166">
        <v>1</v>
      </c>
      <c r="AM13" s="166">
        <v>0</v>
      </c>
      <c r="AN13" s="166">
        <v>0.8</v>
      </c>
      <c r="AO13" s="166">
        <v>0.8</v>
      </c>
      <c r="AP13" s="166">
        <v>0.2</v>
      </c>
      <c r="AQ13" s="166">
        <v>0.8</v>
      </c>
      <c r="AR13" s="166">
        <v>0</v>
      </c>
      <c r="AS13" s="166">
        <v>0.8</v>
      </c>
      <c r="AT13" s="166">
        <v>0.8</v>
      </c>
      <c r="AU13" s="166">
        <v>0.5</v>
      </c>
      <c r="AV13" s="166">
        <v>0.5</v>
      </c>
      <c r="AW13" s="166">
        <v>0.5</v>
      </c>
      <c r="AX13" s="166">
        <v>0.5</v>
      </c>
    </row>
    <row r="14" spans="1:50" x14ac:dyDescent="0.25">
      <c r="A14" s="162">
        <v>13</v>
      </c>
      <c r="B14" s="162">
        <v>33</v>
      </c>
      <c r="C14" s="162" t="s">
        <v>313</v>
      </c>
      <c r="D14" s="162" t="s">
        <v>313</v>
      </c>
      <c r="E14" s="162" t="s">
        <v>202</v>
      </c>
      <c r="F14" s="162" t="s">
        <v>314</v>
      </c>
      <c r="G14" s="162" t="s">
        <v>236</v>
      </c>
      <c r="H14" s="162" t="s">
        <v>315</v>
      </c>
      <c r="I14" s="162" t="s">
        <v>316</v>
      </c>
      <c r="J14" s="162" t="s">
        <v>317</v>
      </c>
      <c r="K14" s="163">
        <v>3</v>
      </c>
      <c r="L14" s="566" t="s">
        <v>498</v>
      </c>
      <c r="M14" s="566" t="s">
        <v>505</v>
      </c>
      <c r="N14" s="566" t="s">
        <v>484</v>
      </c>
      <c r="O14" s="164">
        <v>165352298.19999999</v>
      </c>
      <c r="P14" s="164" t="s">
        <v>489</v>
      </c>
      <c r="Q14" s="162" t="s">
        <v>318</v>
      </c>
      <c r="R14" s="165">
        <v>0.3</v>
      </c>
      <c r="S14" s="163">
        <f>Z14*R14</f>
        <v>45</v>
      </c>
      <c r="T14" s="163">
        <f>S14*3</f>
        <v>135</v>
      </c>
      <c r="U14" s="165">
        <f>AA14/Z14</f>
        <v>0.3</v>
      </c>
      <c r="V14" s="163">
        <f>Z14*U14</f>
        <v>45</v>
      </c>
      <c r="W14" s="163">
        <f>V14*3</f>
        <v>135</v>
      </c>
      <c r="X14" s="164">
        <f>O14/Z14</f>
        <v>1102348.6546666666</v>
      </c>
      <c r="Y14" s="164">
        <f>O14/AA14</f>
        <v>3674495.5155555555</v>
      </c>
      <c r="Z14" s="163">
        <v>150</v>
      </c>
      <c r="AA14" s="163">
        <v>45</v>
      </c>
      <c r="AB14" s="162" t="s">
        <v>241</v>
      </c>
      <c r="AC14" s="162" t="s">
        <v>203</v>
      </c>
      <c r="AD14" s="166">
        <v>0.35500000000000009</v>
      </c>
      <c r="AE14" s="166">
        <v>0.35000000000000009</v>
      </c>
      <c r="AF14" s="166">
        <v>0.35400000000000009</v>
      </c>
      <c r="AG14" s="166">
        <v>0.8</v>
      </c>
      <c r="AH14" s="166">
        <v>0</v>
      </c>
      <c r="AI14" s="166">
        <v>1</v>
      </c>
      <c r="AJ14" s="166">
        <v>0</v>
      </c>
      <c r="AK14" s="166">
        <v>0</v>
      </c>
      <c r="AL14" s="166">
        <v>0</v>
      </c>
      <c r="AM14" s="166">
        <v>1</v>
      </c>
      <c r="AN14" s="166">
        <v>0</v>
      </c>
      <c r="AO14" s="166">
        <v>0</v>
      </c>
      <c r="AP14" s="166">
        <v>1</v>
      </c>
      <c r="AQ14" s="166">
        <v>0.5</v>
      </c>
      <c r="AR14" s="166">
        <v>0</v>
      </c>
      <c r="AS14" s="166">
        <v>0.5</v>
      </c>
      <c r="AT14" s="166">
        <v>0.5</v>
      </c>
      <c r="AU14" s="166">
        <v>0.5</v>
      </c>
      <c r="AV14" s="166">
        <v>0.5</v>
      </c>
      <c r="AW14" s="166">
        <v>0</v>
      </c>
      <c r="AX14" s="166">
        <v>0</v>
      </c>
    </row>
    <row r="15" spans="1:50" x14ac:dyDescent="0.25">
      <c r="A15" s="162">
        <v>14</v>
      </c>
      <c r="B15" s="162">
        <v>21</v>
      </c>
      <c r="C15" s="162" t="s">
        <v>319</v>
      </c>
      <c r="D15" s="162" t="s">
        <v>319</v>
      </c>
      <c r="E15" s="162" t="s">
        <v>176</v>
      </c>
      <c r="F15" s="162" t="s">
        <v>320</v>
      </c>
      <c r="G15" s="162" t="s">
        <v>236</v>
      </c>
      <c r="H15" s="162" t="s">
        <v>321</v>
      </c>
      <c r="I15" s="162" t="s">
        <v>322</v>
      </c>
      <c r="J15" s="162" t="s">
        <v>323</v>
      </c>
      <c r="K15" s="163">
        <v>3</v>
      </c>
      <c r="L15" s="566" t="s">
        <v>506</v>
      </c>
      <c r="M15" s="566" t="s">
        <v>507</v>
      </c>
      <c r="N15" s="566" t="s">
        <v>488</v>
      </c>
      <c r="O15" s="164">
        <v>211345624.30000001</v>
      </c>
      <c r="P15" s="164" t="s">
        <v>489</v>
      </c>
      <c r="Q15" s="162" t="s">
        <v>324</v>
      </c>
      <c r="R15" s="165">
        <v>0.3</v>
      </c>
      <c r="S15" s="163">
        <f>Z15*R15</f>
        <v>51</v>
      </c>
      <c r="T15" s="163">
        <f>S15*3</f>
        <v>153</v>
      </c>
      <c r="U15" s="165">
        <f>AA15/Z15</f>
        <v>0.3</v>
      </c>
      <c r="V15" s="163">
        <f>Z15*U15</f>
        <v>51</v>
      </c>
      <c r="W15" s="163">
        <f>V15*3</f>
        <v>153</v>
      </c>
      <c r="X15" s="164">
        <f>O15/Z15</f>
        <v>1243209.5547058824</v>
      </c>
      <c r="Y15" s="164">
        <f>O15/AA15</f>
        <v>4144031.849019608</v>
      </c>
      <c r="Z15" s="163">
        <v>170</v>
      </c>
      <c r="AA15" s="163">
        <v>51</v>
      </c>
      <c r="AB15" s="162" t="s">
        <v>269</v>
      </c>
      <c r="AC15" s="162" t="s">
        <v>176</v>
      </c>
      <c r="AD15" s="166">
        <v>0.30000000000000004</v>
      </c>
      <c r="AE15" s="166">
        <v>0.16000000000000003</v>
      </c>
      <c r="AF15" s="166">
        <v>0.27200000000000008</v>
      </c>
      <c r="AG15" s="166">
        <v>1</v>
      </c>
      <c r="AH15" s="166">
        <v>0.8</v>
      </c>
      <c r="AI15" s="166">
        <v>0.8</v>
      </c>
      <c r="AJ15" s="166">
        <v>0.6</v>
      </c>
      <c r="AK15" s="166">
        <v>0</v>
      </c>
      <c r="AL15" s="166">
        <v>0</v>
      </c>
      <c r="AM15" s="166">
        <v>0</v>
      </c>
      <c r="AN15" s="166">
        <v>0</v>
      </c>
      <c r="AO15" s="166">
        <v>0</v>
      </c>
      <c r="AP15" s="166">
        <v>0</v>
      </c>
      <c r="AQ15" s="166">
        <v>0</v>
      </c>
      <c r="AR15" s="166">
        <v>0</v>
      </c>
      <c r="AS15" s="166">
        <v>0</v>
      </c>
      <c r="AT15" s="166">
        <v>0</v>
      </c>
      <c r="AU15" s="166">
        <v>0</v>
      </c>
      <c r="AV15" s="166">
        <v>0</v>
      </c>
      <c r="AW15" s="166">
        <v>0</v>
      </c>
      <c r="AX15" s="166">
        <v>0</v>
      </c>
    </row>
    <row r="16" spans="1:50" x14ac:dyDescent="0.25">
      <c r="A16" s="162">
        <v>15</v>
      </c>
      <c r="B16" s="162">
        <v>19</v>
      </c>
      <c r="C16" s="162" t="s">
        <v>325</v>
      </c>
      <c r="D16" s="162" t="s">
        <v>325</v>
      </c>
      <c r="E16" s="162" t="s">
        <v>171</v>
      </c>
      <c r="F16" s="162" t="s">
        <v>320</v>
      </c>
      <c r="G16" s="162" t="s">
        <v>236</v>
      </c>
      <c r="H16" s="162" t="s">
        <v>326</v>
      </c>
      <c r="I16" s="162" t="s">
        <v>327</v>
      </c>
      <c r="J16" s="162" t="s">
        <v>328</v>
      </c>
      <c r="K16" s="163">
        <v>3</v>
      </c>
      <c r="L16" s="566" t="s">
        <v>508</v>
      </c>
      <c r="M16" s="566" t="s">
        <v>507</v>
      </c>
      <c r="N16" s="566" t="s">
        <v>488</v>
      </c>
      <c r="O16" s="164">
        <v>178208437.90000001</v>
      </c>
      <c r="P16" s="164" t="s">
        <v>489</v>
      </c>
      <c r="Q16" s="162" t="s">
        <v>324</v>
      </c>
      <c r="R16" s="165">
        <v>0.3</v>
      </c>
      <c r="S16" s="163">
        <f>Z16*R16</f>
        <v>36</v>
      </c>
      <c r="T16" s="163">
        <f>S16*3</f>
        <v>108</v>
      </c>
      <c r="U16" s="165">
        <f>AA16/Z16</f>
        <v>0.3</v>
      </c>
      <c r="V16" s="163">
        <f>Z16*U16</f>
        <v>36</v>
      </c>
      <c r="W16" s="163">
        <f>V16*3</f>
        <v>108</v>
      </c>
      <c r="X16" s="164">
        <f>O16/Z16</f>
        <v>1485070.3158333334</v>
      </c>
      <c r="Y16" s="164">
        <f>O16/AA16</f>
        <v>4950234.3861111114</v>
      </c>
      <c r="Z16" s="163">
        <v>120</v>
      </c>
      <c r="AA16" s="163">
        <v>36</v>
      </c>
      <c r="AB16" s="162" t="s">
        <v>262</v>
      </c>
      <c r="AC16" s="162" t="s">
        <v>172</v>
      </c>
      <c r="AD16" s="166">
        <v>0.30500000000000005</v>
      </c>
      <c r="AE16" s="166">
        <v>0.255</v>
      </c>
      <c r="AF16" s="166">
        <v>0.29500000000000004</v>
      </c>
      <c r="AG16" s="166">
        <v>1</v>
      </c>
      <c r="AH16" s="166">
        <v>0.5</v>
      </c>
      <c r="AI16" s="166">
        <v>0.8</v>
      </c>
      <c r="AJ16" s="166">
        <v>0</v>
      </c>
      <c r="AK16" s="166">
        <v>0</v>
      </c>
      <c r="AL16" s="166">
        <v>0</v>
      </c>
      <c r="AM16" s="166">
        <v>0</v>
      </c>
      <c r="AN16" s="166">
        <v>0</v>
      </c>
      <c r="AO16" s="166">
        <v>0</v>
      </c>
      <c r="AP16" s="166">
        <v>1</v>
      </c>
      <c r="AQ16" s="166">
        <v>0.5</v>
      </c>
      <c r="AR16" s="166">
        <v>0.5</v>
      </c>
      <c r="AS16" s="166">
        <v>0</v>
      </c>
      <c r="AT16" s="166">
        <v>0</v>
      </c>
      <c r="AU16" s="166">
        <v>0</v>
      </c>
      <c r="AV16" s="166">
        <v>0</v>
      </c>
      <c r="AW16" s="166">
        <v>0</v>
      </c>
      <c r="AX16" s="166">
        <v>0</v>
      </c>
    </row>
    <row r="17" spans="1:50" x14ac:dyDescent="0.25">
      <c r="A17" s="162">
        <v>16</v>
      </c>
      <c r="B17" s="162">
        <v>20</v>
      </c>
      <c r="C17" s="162" t="s">
        <v>329</v>
      </c>
      <c r="D17" s="162" t="s">
        <v>329</v>
      </c>
      <c r="E17" s="162" t="s">
        <v>174</v>
      </c>
      <c r="F17" s="162" t="s">
        <v>320</v>
      </c>
      <c r="G17" s="162" t="s">
        <v>236</v>
      </c>
      <c r="H17" s="162" t="s">
        <v>258</v>
      </c>
      <c r="I17" s="162" t="s">
        <v>330</v>
      </c>
      <c r="J17" s="162" t="s">
        <v>331</v>
      </c>
      <c r="K17" s="163">
        <v>3</v>
      </c>
      <c r="L17" s="566" t="s">
        <v>506</v>
      </c>
      <c r="M17" s="566" t="s">
        <v>495</v>
      </c>
      <c r="N17" s="566" t="s">
        <v>488</v>
      </c>
      <c r="O17" s="164">
        <v>98459271.299999997</v>
      </c>
      <c r="P17" s="164" t="s">
        <v>489</v>
      </c>
      <c r="Q17" s="162" t="s">
        <v>324</v>
      </c>
      <c r="R17" s="165">
        <v>0.3</v>
      </c>
      <c r="S17" s="163">
        <f>Z17*R17</f>
        <v>19.8</v>
      </c>
      <c r="T17" s="163">
        <f>S17*3</f>
        <v>59.400000000000006</v>
      </c>
      <c r="U17" s="165">
        <f>AA17/Z17</f>
        <v>0.3</v>
      </c>
      <c r="V17" s="163">
        <f>Z17*U17</f>
        <v>19.8</v>
      </c>
      <c r="W17" s="163">
        <f>V17*3</f>
        <v>59.400000000000006</v>
      </c>
      <c r="X17" s="164">
        <f>O17/Z17</f>
        <v>1491807.1409090909</v>
      </c>
      <c r="Y17" s="164">
        <f>O17/AA17</f>
        <v>4972690.4696969697</v>
      </c>
      <c r="Z17" s="163">
        <v>66</v>
      </c>
      <c r="AA17" s="163">
        <v>19.8</v>
      </c>
      <c r="AB17" s="162" t="s">
        <v>262</v>
      </c>
      <c r="AC17" s="162" t="s">
        <v>75</v>
      </c>
      <c r="AD17" s="166">
        <v>0.29500000000000004</v>
      </c>
      <c r="AE17" s="166">
        <v>0.28000000000000003</v>
      </c>
      <c r="AF17" s="166">
        <v>0.29200000000000004</v>
      </c>
      <c r="AG17" s="166">
        <v>0.95</v>
      </c>
      <c r="AH17" s="166">
        <v>0.8</v>
      </c>
      <c r="AI17" s="166">
        <v>1</v>
      </c>
      <c r="AJ17" s="166">
        <v>0</v>
      </c>
      <c r="AK17" s="166">
        <v>0</v>
      </c>
      <c r="AL17" s="166">
        <v>0</v>
      </c>
      <c r="AM17" s="166">
        <v>0</v>
      </c>
      <c r="AN17" s="166">
        <v>0</v>
      </c>
      <c r="AO17" s="166">
        <v>0</v>
      </c>
      <c r="AP17" s="166">
        <v>1</v>
      </c>
      <c r="AQ17" s="166">
        <v>0</v>
      </c>
      <c r="AR17" s="166">
        <v>0</v>
      </c>
      <c r="AS17" s="166">
        <v>0</v>
      </c>
      <c r="AT17" s="166">
        <v>0</v>
      </c>
      <c r="AU17" s="166">
        <v>0</v>
      </c>
      <c r="AV17" s="166">
        <v>0</v>
      </c>
      <c r="AW17" s="166">
        <v>0</v>
      </c>
      <c r="AX17" s="166">
        <v>0</v>
      </c>
    </row>
    <row r="18" spans="1:50" x14ac:dyDescent="0.25">
      <c r="A18" s="162">
        <v>17</v>
      </c>
      <c r="B18" s="162">
        <v>18</v>
      </c>
      <c r="C18" s="162" t="s">
        <v>332</v>
      </c>
      <c r="D18" s="162" t="s">
        <v>332</v>
      </c>
      <c r="E18" s="162" t="s">
        <v>63</v>
      </c>
      <c r="F18" s="162" t="s">
        <v>333</v>
      </c>
      <c r="G18" s="162" t="s">
        <v>236</v>
      </c>
      <c r="H18" s="162" t="s">
        <v>334</v>
      </c>
      <c r="I18" s="162" t="s">
        <v>335</v>
      </c>
      <c r="J18" s="162" t="s">
        <v>336</v>
      </c>
      <c r="K18" s="163">
        <v>3</v>
      </c>
      <c r="L18" s="566" t="s">
        <v>498</v>
      </c>
      <c r="M18" s="566" t="s">
        <v>509</v>
      </c>
      <c r="N18" s="566" t="s">
        <v>510</v>
      </c>
      <c r="O18" s="164">
        <v>90724532.900000006</v>
      </c>
      <c r="P18" s="164" t="s">
        <v>485</v>
      </c>
      <c r="Q18" s="162" t="s">
        <v>337</v>
      </c>
      <c r="R18" s="165">
        <v>0.3</v>
      </c>
      <c r="S18" s="163">
        <f>Z18*R18</f>
        <v>29.46</v>
      </c>
      <c r="T18" s="163">
        <f>S18*3</f>
        <v>88.38</v>
      </c>
      <c r="U18" s="165">
        <f>AA18/Z18</f>
        <v>0.3</v>
      </c>
      <c r="V18" s="163">
        <f>Z18*U18</f>
        <v>29.46</v>
      </c>
      <c r="W18" s="163">
        <f>V18*3</f>
        <v>88.38</v>
      </c>
      <c r="X18" s="164">
        <f>O18/Z18</f>
        <v>923875.08044806519</v>
      </c>
      <c r="Y18" s="164">
        <f>O18/AA18</f>
        <v>3079583.6014935505</v>
      </c>
      <c r="Z18" s="163">
        <v>98.2</v>
      </c>
      <c r="AA18" s="163">
        <v>29.46</v>
      </c>
      <c r="AB18" s="162" t="s">
        <v>338</v>
      </c>
      <c r="AC18" s="162" t="s">
        <v>339</v>
      </c>
      <c r="AD18" s="166">
        <v>0.91500000000000015</v>
      </c>
      <c r="AE18" s="166">
        <v>0.86000000000000021</v>
      </c>
      <c r="AF18" s="166">
        <v>0.90400000000000025</v>
      </c>
      <c r="AG18" s="166">
        <v>0.95</v>
      </c>
      <c r="AH18" s="166">
        <v>0.5</v>
      </c>
      <c r="AI18" s="166">
        <v>0.9</v>
      </c>
      <c r="AJ18" s="166">
        <v>0.9</v>
      </c>
      <c r="AK18" s="166">
        <v>0.9</v>
      </c>
      <c r="AL18" s="166">
        <v>1</v>
      </c>
      <c r="AM18" s="166">
        <v>1</v>
      </c>
      <c r="AN18" s="166">
        <v>0.9</v>
      </c>
      <c r="AO18" s="166">
        <v>0.9</v>
      </c>
      <c r="AP18" s="166">
        <v>1</v>
      </c>
      <c r="AQ18" s="166">
        <v>1</v>
      </c>
      <c r="AR18" s="166">
        <v>0.8</v>
      </c>
      <c r="AS18" s="166">
        <v>1</v>
      </c>
      <c r="AT18" s="166">
        <v>1</v>
      </c>
      <c r="AU18" s="166">
        <v>0.8</v>
      </c>
      <c r="AV18" s="166">
        <v>0.8</v>
      </c>
      <c r="AW18" s="166">
        <v>0.6</v>
      </c>
      <c r="AX18" s="166">
        <v>0.6</v>
      </c>
    </row>
    <row r="19" spans="1:50" x14ac:dyDescent="0.25">
      <c r="A19" s="162">
        <v>18</v>
      </c>
      <c r="B19" s="162">
        <v>15</v>
      </c>
      <c r="C19" s="162" t="s">
        <v>340</v>
      </c>
      <c r="D19" s="162" t="s">
        <v>340</v>
      </c>
      <c r="E19" s="162" t="s">
        <v>161</v>
      </c>
      <c r="F19" s="162" t="s">
        <v>341</v>
      </c>
      <c r="G19" s="162" t="s">
        <v>245</v>
      </c>
      <c r="H19" s="162" t="s">
        <v>342</v>
      </c>
      <c r="I19" s="162" t="s">
        <v>343</v>
      </c>
      <c r="J19" s="162" t="s">
        <v>344</v>
      </c>
      <c r="K19" s="163">
        <v>3</v>
      </c>
      <c r="L19" s="566" t="s">
        <v>492</v>
      </c>
      <c r="M19" s="566" t="s">
        <v>511</v>
      </c>
      <c r="N19" s="566" t="s">
        <v>484</v>
      </c>
      <c r="O19" s="164">
        <v>563085927</v>
      </c>
      <c r="P19" s="164" t="s">
        <v>489</v>
      </c>
      <c r="Q19" s="162" t="s">
        <v>345</v>
      </c>
      <c r="R19" s="165">
        <v>0.3</v>
      </c>
      <c r="S19" s="163">
        <f>Z19*R19</f>
        <v>90</v>
      </c>
      <c r="T19" s="163">
        <f>S19*3</f>
        <v>270</v>
      </c>
      <c r="U19" s="165">
        <f>AA19/Z19</f>
        <v>0.3</v>
      </c>
      <c r="V19" s="163">
        <f>Z19*U19</f>
        <v>90</v>
      </c>
      <c r="W19" s="163">
        <f>V19*3</f>
        <v>270</v>
      </c>
      <c r="X19" s="164">
        <f>O19/Z19</f>
        <v>1876953.09</v>
      </c>
      <c r="Y19" s="164">
        <f>O19/AA19</f>
        <v>6256510.2999999998</v>
      </c>
      <c r="Z19" s="163">
        <v>300</v>
      </c>
      <c r="AA19" s="163">
        <v>90</v>
      </c>
      <c r="AB19" s="162" t="s">
        <v>346</v>
      </c>
      <c r="AC19" s="162" t="s">
        <v>162</v>
      </c>
      <c r="AD19" s="166">
        <v>0.4</v>
      </c>
      <c r="AE19" s="166">
        <v>0.34</v>
      </c>
      <c r="AF19" s="166">
        <v>0.38800000000000007</v>
      </c>
      <c r="AG19" s="166">
        <v>1</v>
      </c>
      <c r="AH19" s="166">
        <v>0.5</v>
      </c>
      <c r="AI19" s="166">
        <v>0.9</v>
      </c>
      <c r="AJ19" s="166">
        <v>0.5</v>
      </c>
      <c r="AK19" s="166">
        <v>0</v>
      </c>
      <c r="AL19" s="166">
        <v>0</v>
      </c>
      <c r="AM19" s="166">
        <v>0</v>
      </c>
      <c r="AN19" s="166">
        <v>0.05</v>
      </c>
      <c r="AO19" s="166">
        <v>0.5</v>
      </c>
      <c r="AP19" s="166">
        <v>1</v>
      </c>
      <c r="AQ19" s="166">
        <v>0</v>
      </c>
      <c r="AR19" s="166">
        <v>0</v>
      </c>
      <c r="AS19" s="166">
        <v>0</v>
      </c>
      <c r="AT19" s="166">
        <v>0</v>
      </c>
      <c r="AU19" s="166">
        <v>0</v>
      </c>
      <c r="AV19" s="166">
        <v>0</v>
      </c>
      <c r="AW19" s="166">
        <v>0</v>
      </c>
      <c r="AX19" s="166">
        <v>0</v>
      </c>
    </row>
    <row r="20" spans="1:50" x14ac:dyDescent="0.25">
      <c r="A20" s="162">
        <v>19</v>
      </c>
      <c r="B20" s="162">
        <v>14</v>
      </c>
      <c r="C20" s="162" t="s">
        <v>347</v>
      </c>
      <c r="D20" s="162" t="s">
        <v>347</v>
      </c>
      <c r="E20" s="162" t="s">
        <v>113</v>
      </c>
      <c r="F20" s="162" t="s">
        <v>341</v>
      </c>
      <c r="G20" s="162" t="s">
        <v>236</v>
      </c>
      <c r="H20" s="162" t="s">
        <v>348</v>
      </c>
      <c r="I20" s="162" t="s">
        <v>349</v>
      </c>
      <c r="J20" s="162" t="s">
        <v>350</v>
      </c>
      <c r="K20" s="163">
        <v>3</v>
      </c>
      <c r="L20" s="566" t="s">
        <v>492</v>
      </c>
      <c r="M20" s="566" t="s">
        <v>497</v>
      </c>
      <c r="N20" s="566" t="s">
        <v>484</v>
      </c>
      <c r="O20" s="164">
        <v>111538383</v>
      </c>
      <c r="P20" s="164" t="s">
        <v>489</v>
      </c>
      <c r="Q20" s="162" t="s">
        <v>345</v>
      </c>
      <c r="R20" s="165">
        <v>0.3</v>
      </c>
      <c r="S20" s="163">
        <f>Z20*R20</f>
        <v>21.599999999999998</v>
      </c>
      <c r="T20" s="163">
        <f>S20*3</f>
        <v>64.8</v>
      </c>
      <c r="U20" s="165">
        <f>AA20/Z20</f>
        <v>0.30000000000000004</v>
      </c>
      <c r="V20" s="163">
        <f>Z20*U20</f>
        <v>21.6</v>
      </c>
      <c r="W20" s="163">
        <f>V20*3</f>
        <v>64.800000000000011</v>
      </c>
      <c r="X20" s="164">
        <f>O20/Z20</f>
        <v>1549144.2083333333</v>
      </c>
      <c r="Y20" s="164">
        <f>O20/AA20</f>
        <v>5163814.0277777771</v>
      </c>
      <c r="Z20" s="163">
        <v>72</v>
      </c>
      <c r="AA20" s="163">
        <v>21.6</v>
      </c>
      <c r="AB20" s="162" t="s">
        <v>269</v>
      </c>
      <c r="AC20" s="162" t="s">
        <v>114</v>
      </c>
      <c r="AD20" s="166">
        <v>0.77000000000000024</v>
      </c>
      <c r="AE20" s="166">
        <v>0.77000000000000024</v>
      </c>
      <c r="AF20" s="166">
        <v>0.77000000000000024</v>
      </c>
      <c r="AG20" s="166">
        <v>0.8</v>
      </c>
      <c r="AH20" s="166">
        <v>0.8</v>
      </c>
      <c r="AI20" s="166">
        <v>1</v>
      </c>
      <c r="AJ20" s="166">
        <v>0.8</v>
      </c>
      <c r="AK20" s="166">
        <v>0.8</v>
      </c>
      <c r="AL20" s="166">
        <v>1</v>
      </c>
      <c r="AM20" s="166">
        <v>1</v>
      </c>
      <c r="AN20" s="166">
        <v>0.8</v>
      </c>
      <c r="AO20" s="166">
        <v>0.8</v>
      </c>
      <c r="AP20" s="166">
        <v>0.2</v>
      </c>
      <c r="AQ20" s="166">
        <v>0.5</v>
      </c>
      <c r="AR20" s="166">
        <v>0.5</v>
      </c>
      <c r="AS20" s="166">
        <v>1</v>
      </c>
      <c r="AT20" s="166">
        <v>1</v>
      </c>
      <c r="AU20" s="166">
        <v>1</v>
      </c>
      <c r="AV20" s="166">
        <v>1</v>
      </c>
      <c r="AW20" s="166">
        <v>0.5</v>
      </c>
      <c r="AX20" s="166">
        <v>0.5</v>
      </c>
    </row>
    <row r="21" spans="1:50" x14ac:dyDescent="0.25">
      <c r="A21" s="162">
        <v>20</v>
      </c>
      <c r="B21" s="162">
        <v>16</v>
      </c>
      <c r="C21" s="162" t="s">
        <v>351</v>
      </c>
      <c r="D21" s="162" t="s">
        <v>351</v>
      </c>
      <c r="E21" s="162" t="s">
        <v>164</v>
      </c>
      <c r="F21" s="162" t="s">
        <v>341</v>
      </c>
      <c r="G21" s="162" t="s">
        <v>236</v>
      </c>
      <c r="H21" s="162" t="s">
        <v>352</v>
      </c>
      <c r="I21" s="162" t="s">
        <v>349</v>
      </c>
      <c r="J21" s="162" t="s">
        <v>350</v>
      </c>
      <c r="K21" s="163">
        <v>3</v>
      </c>
      <c r="L21" s="566" t="s">
        <v>492</v>
      </c>
      <c r="M21" s="566" t="s">
        <v>512</v>
      </c>
      <c r="N21" s="566" t="s">
        <v>484</v>
      </c>
      <c r="O21" s="164">
        <v>107893266</v>
      </c>
      <c r="P21" s="164" t="s">
        <v>489</v>
      </c>
      <c r="Q21" s="162" t="s">
        <v>345</v>
      </c>
      <c r="R21" s="165">
        <v>0.3</v>
      </c>
      <c r="S21" s="163">
        <f>Z21*R21</f>
        <v>21.599999999999998</v>
      </c>
      <c r="T21" s="163">
        <f>S21*3</f>
        <v>64.8</v>
      </c>
      <c r="U21" s="165">
        <f>AA21/Z21</f>
        <v>0.30000000000000004</v>
      </c>
      <c r="V21" s="163">
        <f>Z21*U21</f>
        <v>21.6</v>
      </c>
      <c r="W21" s="163">
        <f>V21*3</f>
        <v>64.800000000000011</v>
      </c>
      <c r="X21" s="164">
        <f>O21/Z21</f>
        <v>1498517.5833333333</v>
      </c>
      <c r="Y21" s="164">
        <f>O21/AA21</f>
        <v>4995058.611111111</v>
      </c>
      <c r="Z21" s="163">
        <v>72</v>
      </c>
      <c r="AA21" s="163">
        <v>21.6</v>
      </c>
      <c r="AB21" s="162" t="s">
        <v>305</v>
      </c>
      <c r="AC21" s="162" t="s">
        <v>165</v>
      </c>
      <c r="AD21" s="166">
        <v>0.7300000000000002</v>
      </c>
      <c r="AE21" s="166">
        <v>0.63000000000000012</v>
      </c>
      <c r="AF21" s="166">
        <v>0.71000000000000019</v>
      </c>
      <c r="AG21" s="166">
        <v>1</v>
      </c>
      <c r="AH21" s="166">
        <v>0</v>
      </c>
      <c r="AI21" s="166">
        <v>1</v>
      </c>
      <c r="AJ21" s="166">
        <v>0.8</v>
      </c>
      <c r="AK21" s="166">
        <v>0.8</v>
      </c>
      <c r="AL21" s="166">
        <v>0</v>
      </c>
      <c r="AM21" s="166">
        <v>0</v>
      </c>
      <c r="AN21" s="166">
        <v>1</v>
      </c>
      <c r="AO21" s="166">
        <v>1</v>
      </c>
      <c r="AP21" s="166">
        <v>0.2</v>
      </c>
      <c r="AQ21" s="166">
        <v>0.5</v>
      </c>
      <c r="AR21" s="166">
        <v>0.5</v>
      </c>
      <c r="AS21" s="166">
        <v>1</v>
      </c>
      <c r="AT21" s="166">
        <v>1</v>
      </c>
      <c r="AU21" s="166">
        <v>1</v>
      </c>
      <c r="AV21" s="166">
        <v>1</v>
      </c>
      <c r="AW21" s="166">
        <v>0.5</v>
      </c>
      <c r="AX21" s="166">
        <v>0.5</v>
      </c>
    </row>
    <row r="22" spans="1:50" x14ac:dyDescent="0.25">
      <c r="A22" s="162">
        <v>21</v>
      </c>
      <c r="B22" s="162">
        <v>17</v>
      </c>
      <c r="C22" s="162" t="s">
        <v>353</v>
      </c>
      <c r="D22" s="162" t="s">
        <v>353</v>
      </c>
      <c r="E22" s="162" t="s">
        <v>167</v>
      </c>
      <c r="F22" s="162" t="s">
        <v>341</v>
      </c>
      <c r="G22" s="162" t="s">
        <v>236</v>
      </c>
      <c r="H22" s="162" t="s">
        <v>354</v>
      </c>
      <c r="I22" s="162" t="s">
        <v>355</v>
      </c>
      <c r="J22" s="162" t="s">
        <v>356</v>
      </c>
      <c r="K22" s="163">
        <v>3</v>
      </c>
      <c r="L22" s="566" t="s">
        <v>492</v>
      </c>
      <c r="M22" s="566" t="s">
        <v>512</v>
      </c>
      <c r="N22" s="566" t="s">
        <v>484</v>
      </c>
      <c r="O22" s="164">
        <v>85999233</v>
      </c>
      <c r="P22" s="164" t="s">
        <v>489</v>
      </c>
      <c r="Q22" s="162" t="s">
        <v>345</v>
      </c>
      <c r="R22" s="165">
        <v>0.3</v>
      </c>
      <c r="S22" s="163">
        <f>Z22*R22</f>
        <v>16.8</v>
      </c>
      <c r="T22" s="163">
        <f>S22*3</f>
        <v>50.400000000000006</v>
      </c>
      <c r="U22" s="165">
        <f>AA22/Z22</f>
        <v>0.3</v>
      </c>
      <c r="V22" s="163">
        <f>Z22*U22</f>
        <v>16.8</v>
      </c>
      <c r="W22" s="163">
        <f>V22*3</f>
        <v>50.400000000000006</v>
      </c>
      <c r="X22" s="164">
        <f>O22/Z22</f>
        <v>1535700.5892857143</v>
      </c>
      <c r="Y22" s="164">
        <f>O22/AA22</f>
        <v>5119001.9642857136</v>
      </c>
      <c r="Z22" s="163">
        <v>56</v>
      </c>
      <c r="AA22" s="163">
        <v>16.8</v>
      </c>
      <c r="AB22" s="162" t="s">
        <v>305</v>
      </c>
      <c r="AC22" s="162" t="s">
        <v>168</v>
      </c>
      <c r="AD22" s="166">
        <v>0.71000000000000019</v>
      </c>
      <c r="AE22" s="166">
        <v>0.66000000000000014</v>
      </c>
      <c r="AF22" s="166">
        <v>0.70000000000000018</v>
      </c>
      <c r="AG22" s="166">
        <v>1</v>
      </c>
      <c r="AH22" s="166">
        <v>0.5</v>
      </c>
      <c r="AI22" s="166">
        <v>1</v>
      </c>
      <c r="AJ22" s="166">
        <v>0.7</v>
      </c>
      <c r="AK22" s="166">
        <v>0.7</v>
      </c>
      <c r="AL22" s="166">
        <v>0</v>
      </c>
      <c r="AM22" s="166">
        <v>0</v>
      </c>
      <c r="AN22" s="166">
        <v>1</v>
      </c>
      <c r="AO22" s="166">
        <v>1</v>
      </c>
      <c r="AP22" s="166">
        <v>0.2</v>
      </c>
      <c r="AQ22" s="166">
        <v>0.5</v>
      </c>
      <c r="AR22" s="166">
        <v>0.5</v>
      </c>
      <c r="AS22" s="166">
        <v>1</v>
      </c>
      <c r="AT22" s="166">
        <v>1</v>
      </c>
      <c r="AU22" s="166">
        <v>1</v>
      </c>
      <c r="AV22" s="166">
        <v>1</v>
      </c>
      <c r="AW22" s="166">
        <v>0.5</v>
      </c>
      <c r="AX22" s="166">
        <v>0.5</v>
      </c>
    </row>
    <row r="23" spans="1:50" x14ac:dyDescent="0.25">
      <c r="A23" s="162">
        <v>22</v>
      </c>
      <c r="B23" s="162">
        <v>13</v>
      </c>
      <c r="C23" s="162" t="s">
        <v>357</v>
      </c>
      <c r="D23" s="162" t="s">
        <v>357</v>
      </c>
      <c r="E23" s="162" t="s">
        <v>68</v>
      </c>
      <c r="F23" s="162" t="s">
        <v>341</v>
      </c>
      <c r="G23" s="162" t="s">
        <v>236</v>
      </c>
      <c r="H23" s="162" t="s">
        <v>358</v>
      </c>
      <c r="I23" s="162" t="s">
        <v>359</v>
      </c>
      <c r="J23" s="162" t="s">
        <v>360</v>
      </c>
      <c r="K23" s="163">
        <v>3.2</v>
      </c>
      <c r="L23" s="566" t="s">
        <v>490</v>
      </c>
      <c r="M23" s="566" t="s">
        <v>513</v>
      </c>
      <c r="N23" s="566" t="s">
        <v>484</v>
      </c>
      <c r="O23" s="164">
        <v>112351023</v>
      </c>
      <c r="P23" s="164" t="s">
        <v>485</v>
      </c>
      <c r="Q23" s="162" t="s">
        <v>345</v>
      </c>
      <c r="R23" s="165">
        <v>0.3</v>
      </c>
      <c r="S23" s="163">
        <f>Z23*R23</f>
        <v>23.4</v>
      </c>
      <c r="T23" s="163">
        <f>S23*3</f>
        <v>70.199999999999989</v>
      </c>
      <c r="U23" s="165">
        <f>AA23/Z23</f>
        <v>0.32935897435897438</v>
      </c>
      <c r="V23" s="163">
        <f>Z23*U23</f>
        <v>25.69</v>
      </c>
      <c r="W23" s="163">
        <f>V23*3</f>
        <v>77.070000000000007</v>
      </c>
      <c r="X23" s="164">
        <f>O23/Z23</f>
        <v>1440397.7307692308</v>
      </c>
      <c r="Y23" s="164">
        <f>O23/AA23</f>
        <v>4373336.8236667961</v>
      </c>
      <c r="Z23" s="163">
        <v>78</v>
      </c>
      <c r="AA23" s="163">
        <v>25.69</v>
      </c>
      <c r="AB23" s="162" t="s">
        <v>277</v>
      </c>
      <c r="AC23" s="162" t="s">
        <v>69</v>
      </c>
      <c r="AD23" s="166">
        <v>0.94000000000000017</v>
      </c>
      <c r="AE23" s="166">
        <v>0.93000000000000016</v>
      </c>
      <c r="AF23" s="166">
        <v>0.93800000000000028</v>
      </c>
      <c r="AG23" s="166">
        <v>1</v>
      </c>
      <c r="AH23" s="166">
        <v>0.9</v>
      </c>
      <c r="AI23" s="166">
        <v>1</v>
      </c>
      <c r="AJ23" s="166">
        <v>1</v>
      </c>
      <c r="AK23" s="166">
        <v>1</v>
      </c>
      <c r="AL23" s="166">
        <v>0.9</v>
      </c>
      <c r="AM23" s="166">
        <v>0.9</v>
      </c>
      <c r="AN23" s="166">
        <v>1</v>
      </c>
      <c r="AO23" s="166">
        <v>1</v>
      </c>
      <c r="AP23" s="166">
        <v>1</v>
      </c>
      <c r="AQ23" s="166">
        <v>1</v>
      </c>
      <c r="AR23" s="166">
        <v>1</v>
      </c>
      <c r="AS23" s="166">
        <v>0.5</v>
      </c>
      <c r="AT23" s="166">
        <v>0.5</v>
      </c>
      <c r="AU23" s="166">
        <v>1</v>
      </c>
      <c r="AV23" s="166">
        <v>1</v>
      </c>
      <c r="AW23" s="166">
        <v>0.5</v>
      </c>
      <c r="AX23" s="166">
        <v>0.5</v>
      </c>
    </row>
    <row r="24" spans="1:50" x14ac:dyDescent="0.25">
      <c r="A24" s="162">
        <v>23</v>
      </c>
      <c r="B24" s="162">
        <v>3</v>
      </c>
      <c r="C24" s="162" t="s">
        <v>361</v>
      </c>
      <c r="D24" s="162" t="s">
        <v>361</v>
      </c>
      <c r="E24" s="162" t="s">
        <v>147</v>
      </c>
      <c r="F24" s="162" t="s">
        <v>264</v>
      </c>
      <c r="G24" s="162" t="s">
        <v>236</v>
      </c>
      <c r="H24" s="162" t="s">
        <v>362</v>
      </c>
      <c r="I24" s="162" t="s">
        <v>327</v>
      </c>
      <c r="J24" s="162" t="s">
        <v>363</v>
      </c>
      <c r="K24" s="163">
        <v>3</v>
      </c>
      <c r="L24" s="566" t="s">
        <v>492</v>
      </c>
      <c r="M24" s="566" t="s">
        <v>495</v>
      </c>
      <c r="N24" s="566" t="s">
        <v>484</v>
      </c>
      <c r="O24" s="164">
        <v>114611715.90000001</v>
      </c>
      <c r="P24" s="164" t="s">
        <v>485</v>
      </c>
      <c r="Q24" s="162" t="s">
        <v>364</v>
      </c>
      <c r="R24" s="165">
        <v>0.3</v>
      </c>
      <c r="S24" s="163">
        <f>Z24*R24</f>
        <v>36</v>
      </c>
      <c r="T24" s="163">
        <f>S24*3</f>
        <v>108</v>
      </c>
      <c r="U24" s="165">
        <f>AA24/Z24</f>
        <v>0.34083333333333332</v>
      </c>
      <c r="V24" s="163">
        <f>Z24*U24</f>
        <v>40.9</v>
      </c>
      <c r="W24" s="163">
        <f>V24*3</f>
        <v>122.69999999999999</v>
      </c>
      <c r="X24" s="164">
        <f>O24/Z24</f>
        <v>955097.63250000007</v>
      </c>
      <c r="Y24" s="164">
        <f>O24/AA24</f>
        <v>2802242.4425427876</v>
      </c>
      <c r="Z24" s="163">
        <v>120</v>
      </c>
      <c r="AA24" s="163">
        <v>40.9</v>
      </c>
      <c r="AB24" s="162" t="s">
        <v>250</v>
      </c>
      <c r="AC24" s="162" t="s">
        <v>148</v>
      </c>
      <c r="AD24" s="166">
        <v>0.6</v>
      </c>
      <c r="AE24" s="166">
        <v>0.64500000000000002</v>
      </c>
      <c r="AF24" s="166">
        <v>0.60899999999999999</v>
      </c>
      <c r="AG24" s="166">
        <v>0.5</v>
      </c>
      <c r="AH24" s="166">
        <v>0.95</v>
      </c>
      <c r="AI24" s="166">
        <v>1</v>
      </c>
      <c r="AJ24" s="166">
        <v>0.5</v>
      </c>
      <c r="AK24" s="166">
        <v>0.5</v>
      </c>
      <c r="AL24" s="166">
        <v>1</v>
      </c>
      <c r="AM24" s="166">
        <v>1</v>
      </c>
      <c r="AN24" s="166">
        <v>0.5</v>
      </c>
      <c r="AO24" s="166">
        <v>0.5</v>
      </c>
      <c r="AP24" s="166">
        <v>1</v>
      </c>
      <c r="AQ24" s="166">
        <v>0.5</v>
      </c>
      <c r="AR24" s="166">
        <v>0.5</v>
      </c>
      <c r="AS24" s="166">
        <v>0.5</v>
      </c>
      <c r="AT24" s="166">
        <v>0.5</v>
      </c>
      <c r="AU24" s="166">
        <v>0</v>
      </c>
      <c r="AV24" s="166">
        <v>0</v>
      </c>
      <c r="AW24" s="166">
        <v>0</v>
      </c>
      <c r="AX24" s="166">
        <v>0</v>
      </c>
    </row>
    <row r="25" spans="1:50" x14ac:dyDescent="0.25">
      <c r="A25" s="162">
        <v>24</v>
      </c>
      <c r="B25" s="162">
        <v>5</v>
      </c>
      <c r="C25" s="162" t="s">
        <v>365</v>
      </c>
      <c r="D25" s="162" t="s">
        <v>365</v>
      </c>
      <c r="E25" s="162" t="s">
        <v>151</v>
      </c>
      <c r="F25" s="162" t="s">
        <v>366</v>
      </c>
      <c r="G25" s="162" t="s">
        <v>236</v>
      </c>
      <c r="H25" s="162" t="s">
        <v>367</v>
      </c>
      <c r="I25" s="162" t="s">
        <v>368</v>
      </c>
      <c r="J25" s="162" t="s">
        <v>369</v>
      </c>
      <c r="K25" s="163">
        <v>3</v>
      </c>
      <c r="L25" s="566" t="s">
        <v>498</v>
      </c>
      <c r="M25" s="566" t="s">
        <v>483</v>
      </c>
      <c r="N25" s="566" t="s">
        <v>484</v>
      </c>
      <c r="O25" s="164">
        <v>98564828</v>
      </c>
      <c r="P25" s="164" t="s">
        <v>485</v>
      </c>
      <c r="Q25" s="162" t="s">
        <v>370</v>
      </c>
      <c r="R25" s="165">
        <v>0.3</v>
      </c>
      <c r="S25" s="163">
        <f>Z25*R25</f>
        <v>30</v>
      </c>
      <c r="T25" s="163">
        <f>S25*3</f>
        <v>90</v>
      </c>
      <c r="U25" s="165">
        <f>AA25/Z25</f>
        <v>0.3</v>
      </c>
      <c r="V25" s="163">
        <f>Z25*U25</f>
        <v>30</v>
      </c>
      <c r="W25" s="163">
        <f>V25*3</f>
        <v>90</v>
      </c>
      <c r="X25" s="164">
        <f>O25/Z25</f>
        <v>985648.28</v>
      </c>
      <c r="Y25" s="164">
        <f>O25/AA25</f>
        <v>3285494.2666666666</v>
      </c>
      <c r="Z25" s="163">
        <v>100</v>
      </c>
      <c r="AA25" s="163">
        <v>30</v>
      </c>
      <c r="AB25" s="162" t="s">
        <v>269</v>
      </c>
      <c r="AC25" s="162" t="s">
        <v>371</v>
      </c>
      <c r="AD25" s="166">
        <v>0.81000000000000028</v>
      </c>
      <c r="AE25" s="166">
        <v>0.55500000000000005</v>
      </c>
      <c r="AF25" s="166">
        <v>0.75900000000000023</v>
      </c>
      <c r="AG25" s="166">
        <v>0.9</v>
      </c>
      <c r="AH25" s="166">
        <v>0.5</v>
      </c>
      <c r="AI25" s="166">
        <v>1</v>
      </c>
      <c r="AJ25" s="166">
        <v>0.8</v>
      </c>
      <c r="AK25" s="166">
        <v>0.6</v>
      </c>
      <c r="AL25" s="166">
        <v>0.5</v>
      </c>
      <c r="AM25" s="166">
        <v>0</v>
      </c>
      <c r="AN25" s="166">
        <v>0.8</v>
      </c>
      <c r="AO25" s="166">
        <v>0.8</v>
      </c>
      <c r="AP25" s="166">
        <v>0.5</v>
      </c>
      <c r="AQ25" s="166">
        <v>1</v>
      </c>
      <c r="AR25" s="166">
        <v>0.5</v>
      </c>
      <c r="AS25" s="166">
        <v>1</v>
      </c>
      <c r="AT25" s="166">
        <v>0</v>
      </c>
      <c r="AU25" s="166">
        <v>1</v>
      </c>
      <c r="AV25" s="166">
        <v>0</v>
      </c>
      <c r="AW25" s="166">
        <v>1</v>
      </c>
      <c r="AX25" s="166">
        <v>1</v>
      </c>
    </row>
    <row r="26" spans="1:50" x14ac:dyDescent="0.25">
      <c r="A26" s="162">
        <v>25</v>
      </c>
      <c r="B26" s="162">
        <v>6</v>
      </c>
      <c r="C26" s="162" t="s">
        <v>372</v>
      </c>
      <c r="D26" s="162" t="s">
        <v>372</v>
      </c>
      <c r="E26" s="162" t="s">
        <v>153</v>
      </c>
      <c r="F26" s="162" t="s">
        <v>366</v>
      </c>
      <c r="G26" s="162" t="s">
        <v>236</v>
      </c>
      <c r="H26" s="162" t="s">
        <v>373</v>
      </c>
      <c r="I26" s="162" t="s">
        <v>368</v>
      </c>
      <c r="J26" s="162" t="s">
        <v>369</v>
      </c>
      <c r="K26" s="163">
        <v>3</v>
      </c>
      <c r="L26" s="566" t="s">
        <v>498</v>
      </c>
      <c r="M26" s="566" t="s">
        <v>483</v>
      </c>
      <c r="N26" s="566" t="s">
        <v>484</v>
      </c>
      <c r="O26" s="164">
        <v>99932858</v>
      </c>
      <c r="P26" s="164" t="s">
        <v>489</v>
      </c>
      <c r="Q26" s="162" t="s">
        <v>370</v>
      </c>
      <c r="R26" s="165">
        <v>0.3</v>
      </c>
      <c r="S26" s="163">
        <f>Z26*R26</f>
        <v>30</v>
      </c>
      <c r="T26" s="163">
        <f>S26*3</f>
        <v>90</v>
      </c>
      <c r="U26" s="165">
        <f>AA26/Z26</f>
        <v>0.3</v>
      </c>
      <c r="V26" s="163">
        <f>Z26*U26</f>
        <v>30</v>
      </c>
      <c r="W26" s="163">
        <f>V26*3</f>
        <v>90</v>
      </c>
      <c r="X26" s="164">
        <f>O26/Z26</f>
        <v>999328.58</v>
      </c>
      <c r="Y26" s="164">
        <f>O26/AA26</f>
        <v>3331095.2666666666</v>
      </c>
      <c r="Z26" s="163">
        <v>100</v>
      </c>
      <c r="AA26" s="163">
        <v>30</v>
      </c>
      <c r="AB26" s="162" t="s">
        <v>374</v>
      </c>
      <c r="AC26" s="162" t="s">
        <v>154</v>
      </c>
      <c r="AD26" s="166">
        <v>0.625</v>
      </c>
      <c r="AE26" s="166">
        <v>0.40999999999999992</v>
      </c>
      <c r="AF26" s="166">
        <v>0.58199999999999996</v>
      </c>
      <c r="AG26" s="166">
        <v>0.7</v>
      </c>
      <c r="AH26" s="166">
        <v>0.7</v>
      </c>
      <c r="AI26" s="166">
        <v>1</v>
      </c>
      <c r="AJ26" s="166">
        <v>0.7</v>
      </c>
      <c r="AK26" s="166">
        <v>0</v>
      </c>
      <c r="AL26" s="166">
        <v>0</v>
      </c>
      <c r="AM26" s="166">
        <v>0</v>
      </c>
      <c r="AN26" s="166">
        <v>0.7</v>
      </c>
      <c r="AO26" s="166">
        <v>0.7</v>
      </c>
      <c r="AP26" s="166">
        <v>1</v>
      </c>
      <c r="AQ26" s="166">
        <v>0.5</v>
      </c>
      <c r="AR26" s="166">
        <v>0</v>
      </c>
      <c r="AS26" s="166">
        <v>0</v>
      </c>
      <c r="AT26" s="166">
        <v>0</v>
      </c>
      <c r="AU26" s="166">
        <v>1</v>
      </c>
      <c r="AV26" s="166">
        <v>0</v>
      </c>
      <c r="AW26" s="166">
        <v>0</v>
      </c>
      <c r="AX26" s="166">
        <v>0</v>
      </c>
    </row>
    <row r="27" spans="1:50" x14ac:dyDescent="0.25">
      <c r="A27" s="162">
        <v>26</v>
      </c>
      <c r="B27" s="162">
        <v>37</v>
      </c>
      <c r="C27" s="162" t="s">
        <v>375</v>
      </c>
      <c r="D27" s="162" t="s">
        <v>375</v>
      </c>
      <c r="E27" s="162" t="s">
        <v>110</v>
      </c>
      <c r="F27" s="162" t="s">
        <v>272</v>
      </c>
      <c r="G27" s="162" t="s">
        <v>245</v>
      </c>
      <c r="H27" s="162" t="s">
        <v>376</v>
      </c>
      <c r="I27" s="162" t="s">
        <v>377</v>
      </c>
      <c r="J27" s="162" t="s">
        <v>378</v>
      </c>
      <c r="K27" s="163">
        <v>3</v>
      </c>
      <c r="L27" s="566" t="s">
        <v>514</v>
      </c>
      <c r="M27" s="566" t="s">
        <v>497</v>
      </c>
      <c r="N27" s="566" t="s">
        <v>494</v>
      </c>
      <c r="O27" s="164">
        <v>318435063</v>
      </c>
      <c r="P27" s="164" t="s">
        <v>485</v>
      </c>
      <c r="Q27" s="162" t="s">
        <v>379</v>
      </c>
      <c r="R27" s="165">
        <v>0.3</v>
      </c>
      <c r="S27" s="163">
        <f>Z27*R27</f>
        <v>51.3</v>
      </c>
      <c r="T27" s="163">
        <f>S27*3</f>
        <v>153.89999999999998</v>
      </c>
      <c r="U27" s="165">
        <f>AA27/Z27</f>
        <v>0.3</v>
      </c>
      <c r="V27" s="163">
        <f>Z27*U27</f>
        <v>51.3</v>
      </c>
      <c r="W27" s="163">
        <f>V27*3</f>
        <v>153.89999999999998</v>
      </c>
      <c r="X27" s="164">
        <f>O27/Z27</f>
        <v>1862193.350877193</v>
      </c>
      <c r="Y27" s="164">
        <f>O27/AA27</f>
        <v>6207311.1695906436</v>
      </c>
      <c r="Z27" s="163">
        <v>171</v>
      </c>
      <c r="AA27" s="163">
        <v>51.3</v>
      </c>
      <c r="AB27" s="162" t="s">
        <v>277</v>
      </c>
      <c r="AC27" s="162" t="s">
        <v>111</v>
      </c>
      <c r="AD27" s="166">
        <v>0.8550000000000002</v>
      </c>
      <c r="AE27" s="166">
        <v>0.8550000000000002</v>
      </c>
      <c r="AF27" s="166">
        <v>0.8550000000000002</v>
      </c>
      <c r="AG27" s="166">
        <v>1</v>
      </c>
      <c r="AH27" s="166">
        <v>1</v>
      </c>
      <c r="AI27" s="166">
        <v>0.9</v>
      </c>
      <c r="AJ27" s="166">
        <v>0.9</v>
      </c>
      <c r="AK27" s="166">
        <v>0.9</v>
      </c>
      <c r="AL27" s="166">
        <v>0.8</v>
      </c>
      <c r="AM27" s="166">
        <v>0.8</v>
      </c>
      <c r="AN27" s="166">
        <v>0.8</v>
      </c>
      <c r="AO27" s="166">
        <v>0.8</v>
      </c>
      <c r="AP27" s="166">
        <v>1</v>
      </c>
      <c r="AQ27" s="166">
        <v>0.9</v>
      </c>
      <c r="AR27" s="166">
        <v>0.9</v>
      </c>
      <c r="AS27" s="166">
        <v>1</v>
      </c>
      <c r="AT27" s="166">
        <v>1</v>
      </c>
      <c r="AU27" s="166">
        <v>0.5</v>
      </c>
      <c r="AV27" s="166">
        <v>0.5</v>
      </c>
      <c r="AW27" s="166">
        <v>0.5</v>
      </c>
      <c r="AX27" s="166">
        <v>0.5</v>
      </c>
    </row>
    <row r="28" spans="1:50" x14ac:dyDescent="0.25">
      <c r="A28" s="162">
        <v>27</v>
      </c>
      <c r="B28" s="162">
        <v>38</v>
      </c>
      <c r="C28" s="162" t="s">
        <v>380</v>
      </c>
      <c r="D28" s="162" t="s">
        <v>380</v>
      </c>
      <c r="E28" s="162" t="s">
        <v>210</v>
      </c>
      <c r="F28" s="162" t="s">
        <v>272</v>
      </c>
      <c r="G28" s="162" t="s">
        <v>245</v>
      </c>
      <c r="H28" s="162" t="s">
        <v>273</v>
      </c>
      <c r="I28" s="162" t="s">
        <v>381</v>
      </c>
      <c r="J28" s="162" t="s">
        <v>382</v>
      </c>
      <c r="K28" s="163">
        <v>3</v>
      </c>
      <c r="L28" s="566" t="s">
        <v>496</v>
      </c>
      <c r="M28" s="566" t="s">
        <v>497</v>
      </c>
      <c r="N28" s="566" t="s">
        <v>494</v>
      </c>
      <c r="O28" s="164">
        <v>889889834.79999995</v>
      </c>
      <c r="P28" s="164" t="s">
        <v>489</v>
      </c>
      <c r="Q28" s="162" t="s">
        <v>379</v>
      </c>
      <c r="R28" s="165">
        <v>0.3</v>
      </c>
      <c r="S28" s="163">
        <f>Z28*R28</f>
        <v>153</v>
      </c>
      <c r="T28" s="163">
        <f>S28*3</f>
        <v>459</v>
      </c>
      <c r="U28" s="165">
        <f>AA28/Z28</f>
        <v>0.3</v>
      </c>
      <c r="V28" s="163">
        <f>Z28*U28</f>
        <v>153</v>
      </c>
      <c r="W28" s="163">
        <f>V28*3</f>
        <v>459</v>
      </c>
      <c r="X28" s="164">
        <f>O28/Z28</f>
        <v>1744882.0290196077</v>
      </c>
      <c r="Y28" s="164">
        <f>O28/AA28</f>
        <v>5816273.430065359</v>
      </c>
      <c r="Z28" s="163">
        <v>510</v>
      </c>
      <c r="AA28" s="163">
        <v>153</v>
      </c>
      <c r="AB28" s="162" t="s">
        <v>277</v>
      </c>
      <c r="AC28" s="162" t="s">
        <v>211</v>
      </c>
      <c r="AD28" s="166">
        <v>0.44000000000000006</v>
      </c>
      <c r="AE28" s="166">
        <v>0.25</v>
      </c>
      <c r="AF28" s="166">
        <v>0.40200000000000008</v>
      </c>
      <c r="AG28" s="166">
        <v>0.9</v>
      </c>
      <c r="AH28" s="166">
        <v>0.5</v>
      </c>
      <c r="AI28" s="166">
        <v>1</v>
      </c>
      <c r="AJ28" s="166">
        <v>0.5</v>
      </c>
      <c r="AK28" s="166">
        <v>0</v>
      </c>
      <c r="AL28" s="166">
        <v>0</v>
      </c>
      <c r="AM28" s="166">
        <v>0</v>
      </c>
      <c r="AN28" s="166">
        <v>0</v>
      </c>
      <c r="AO28" s="166">
        <v>0</v>
      </c>
      <c r="AP28" s="166">
        <v>1</v>
      </c>
      <c r="AQ28" s="166">
        <v>0.5</v>
      </c>
      <c r="AR28" s="166">
        <v>0</v>
      </c>
      <c r="AS28" s="166">
        <v>0.5</v>
      </c>
      <c r="AT28" s="166">
        <v>0</v>
      </c>
      <c r="AU28" s="166">
        <v>0</v>
      </c>
      <c r="AV28" s="166">
        <v>0</v>
      </c>
      <c r="AW28" s="166">
        <v>0</v>
      </c>
      <c r="AX28" s="166">
        <v>0</v>
      </c>
    </row>
    <row r="29" spans="1:50" x14ac:dyDescent="0.25">
      <c r="A29" s="162">
        <v>28</v>
      </c>
      <c r="B29" s="162">
        <v>40</v>
      </c>
      <c r="C29" s="162" t="s">
        <v>383</v>
      </c>
      <c r="D29" s="162" t="s">
        <v>383</v>
      </c>
      <c r="E29" s="162" t="s">
        <v>103</v>
      </c>
      <c r="F29" s="162" t="s">
        <v>272</v>
      </c>
      <c r="G29" s="162" t="s">
        <v>236</v>
      </c>
      <c r="H29" s="162" t="s">
        <v>384</v>
      </c>
      <c r="I29" s="162" t="s">
        <v>385</v>
      </c>
      <c r="J29" s="162" t="s">
        <v>386</v>
      </c>
      <c r="K29" s="163">
        <v>3</v>
      </c>
      <c r="L29" s="566" t="s">
        <v>515</v>
      </c>
      <c r="M29" s="566" t="s">
        <v>501</v>
      </c>
      <c r="N29" s="566" t="s">
        <v>494</v>
      </c>
      <c r="O29" s="164">
        <v>66887790</v>
      </c>
      <c r="P29" s="164" t="s">
        <v>485</v>
      </c>
      <c r="Q29" s="162" t="s">
        <v>379</v>
      </c>
      <c r="R29" s="165">
        <v>0.3</v>
      </c>
      <c r="S29" s="163">
        <f>Z29*R29</f>
        <v>21</v>
      </c>
      <c r="T29" s="163">
        <f>S29*3</f>
        <v>63</v>
      </c>
      <c r="U29" s="165">
        <f>AA29/Z29</f>
        <v>0.31428571428571428</v>
      </c>
      <c r="V29" s="163">
        <f>Z29*U29</f>
        <v>22</v>
      </c>
      <c r="W29" s="163">
        <f>V29*3</f>
        <v>66</v>
      </c>
      <c r="X29" s="164">
        <f>O29/Z29</f>
        <v>955539.85714285716</v>
      </c>
      <c r="Y29" s="164">
        <f>O29/AA29</f>
        <v>3040354.0909090908</v>
      </c>
      <c r="Z29" s="163">
        <v>70</v>
      </c>
      <c r="AA29" s="163">
        <v>22</v>
      </c>
      <c r="AB29" s="162" t="s">
        <v>255</v>
      </c>
      <c r="AC29" s="162" t="s">
        <v>104</v>
      </c>
      <c r="AD29" s="166">
        <v>0.82000000000000017</v>
      </c>
      <c r="AE29" s="166">
        <v>0.82000000000000017</v>
      </c>
      <c r="AF29" s="166">
        <v>0.82000000000000017</v>
      </c>
      <c r="AG29" s="166">
        <v>1</v>
      </c>
      <c r="AH29" s="166">
        <v>1</v>
      </c>
      <c r="AI29" s="166">
        <v>1</v>
      </c>
      <c r="AJ29" s="166">
        <v>0.8</v>
      </c>
      <c r="AK29" s="166">
        <v>0.8</v>
      </c>
      <c r="AL29" s="166">
        <v>0.8</v>
      </c>
      <c r="AM29" s="166">
        <v>0.8</v>
      </c>
      <c r="AN29" s="166">
        <v>0.8</v>
      </c>
      <c r="AO29" s="166">
        <v>0.8</v>
      </c>
      <c r="AP29" s="166">
        <v>1</v>
      </c>
      <c r="AQ29" s="166">
        <v>0.9</v>
      </c>
      <c r="AR29" s="166">
        <v>0.9</v>
      </c>
      <c r="AS29" s="166">
        <v>0.5</v>
      </c>
      <c r="AT29" s="166">
        <v>0.5</v>
      </c>
      <c r="AU29" s="166">
        <v>0.5</v>
      </c>
      <c r="AV29" s="166">
        <v>0.5</v>
      </c>
      <c r="AW29" s="166">
        <v>0.5</v>
      </c>
      <c r="AX29" s="166">
        <v>0.5</v>
      </c>
    </row>
    <row r="30" spans="1:50" x14ac:dyDescent="0.25">
      <c r="A30" s="162">
        <v>29</v>
      </c>
      <c r="B30" s="162">
        <v>1</v>
      </c>
      <c r="C30" s="162" t="s">
        <v>387</v>
      </c>
      <c r="D30" s="162" t="s">
        <v>387</v>
      </c>
      <c r="E30" s="162" t="s">
        <v>120</v>
      </c>
      <c r="F30" s="162" t="s">
        <v>264</v>
      </c>
      <c r="G30" s="162" t="s">
        <v>236</v>
      </c>
      <c r="H30" s="162" t="s">
        <v>388</v>
      </c>
      <c r="I30" s="162" t="s">
        <v>285</v>
      </c>
      <c r="J30" s="162" t="s">
        <v>389</v>
      </c>
      <c r="K30" s="163">
        <v>3</v>
      </c>
      <c r="L30" s="566" t="s">
        <v>490</v>
      </c>
      <c r="M30" s="566" t="s">
        <v>513</v>
      </c>
      <c r="N30" s="566" t="s">
        <v>488</v>
      </c>
      <c r="O30" s="164">
        <v>86086705.700000003</v>
      </c>
      <c r="P30" s="164" t="s">
        <v>489</v>
      </c>
      <c r="Q30" s="162" t="s">
        <v>390</v>
      </c>
      <c r="R30" s="165">
        <v>0.3</v>
      </c>
      <c r="S30" s="163">
        <f>Z30*R30</f>
        <v>22.5</v>
      </c>
      <c r="T30" s="163">
        <f>S30*3</f>
        <v>67.5</v>
      </c>
      <c r="U30" s="165">
        <f>AA30/Z30</f>
        <v>0.34133333333333338</v>
      </c>
      <c r="V30" s="163">
        <f>Z30*U30</f>
        <v>25.600000000000005</v>
      </c>
      <c r="W30" s="163">
        <f>V30*3</f>
        <v>76.800000000000011</v>
      </c>
      <c r="X30" s="164">
        <f>O30/Z30</f>
        <v>1147822.7426666666</v>
      </c>
      <c r="Y30" s="164">
        <f>O30/AA30</f>
        <v>3362761.94140625</v>
      </c>
      <c r="Z30" s="163">
        <v>75</v>
      </c>
      <c r="AA30" s="163">
        <v>25.6</v>
      </c>
      <c r="AB30" s="162" t="s">
        <v>269</v>
      </c>
      <c r="AC30" s="162" t="s">
        <v>121</v>
      </c>
      <c r="AD30" s="166">
        <v>0.79000000000000026</v>
      </c>
      <c r="AE30" s="166">
        <v>0.67000000000000015</v>
      </c>
      <c r="AF30" s="166">
        <v>0.76600000000000024</v>
      </c>
      <c r="AG30" s="166">
        <v>1</v>
      </c>
      <c r="AH30" s="166">
        <v>0.5</v>
      </c>
      <c r="AI30" s="166">
        <v>1</v>
      </c>
      <c r="AJ30" s="166">
        <v>0.8</v>
      </c>
      <c r="AK30" s="166">
        <v>0.5</v>
      </c>
      <c r="AL30" s="166">
        <v>0.5</v>
      </c>
      <c r="AM30" s="166">
        <v>0.5</v>
      </c>
      <c r="AN30" s="166">
        <v>1</v>
      </c>
      <c r="AO30" s="166">
        <v>1</v>
      </c>
      <c r="AP30" s="166">
        <v>0</v>
      </c>
      <c r="AQ30" s="166">
        <v>0.7</v>
      </c>
      <c r="AR30" s="166">
        <v>0.5</v>
      </c>
      <c r="AS30" s="166">
        <v>1</v>
      </c>
      <c r="AT30" s="166">
        <v>1</v>
      </c>
      <c r="AU30" s="166">
        <v>1</v>
      </c>
      <c r="AV30" s="166">
        <v>1</v>
      </c>
      <c r="AW30" s="166">
        <v>0.9</v>
      </c>
      <c r="AX30" s="166">
        <v>0.9</v>
      </c>
    </row>
    <row r="31" spans="1:50" x14ac:dyDescent="0.25">
      <c r="A31" s="162">
        <v>30</v>
      </c>
      <c r="B31" s="162">
        <v>32</v>
      </c>
      <c r="C31" s="162" t="s">
        <v>391</v>
      </c>
      <c r="D31" s="162" t="s">
        <v>391</v>
      </c>
      <c r="E31" s="162" t="s">
        <v>79</v>
      </c>
      <c r="F31" s="162" t="s">
        <v>392</v>
      </c>
      <c r="G31" s="162" t="s">
        <v>236</v>
      </c>
      <c r="H31" s="162" t="s">
        <v>393</v>
      </c>
      <c r="I31" s="162" t="s">
        <v>394</v>
      </c>
      <c r="J31" s="162" t="s">
        <v>395</v>
      </c>
      <c r="K31" s="163">
        <v>3</v>
      </c>
      <c r="L31" s="566" t="s">
        <v>515</v>
      </c>
      <c r="M31" s="566" t="s">
        <v>516</v>
      </c>
      <c r="N31" s="566" t="s">
        <v>484</v>
      </c>
      <c r="O31" s="164">
        <v>147073578.90000001</v>
      </c>
      <c r="P31" s="164" t="s">
        <v>485</v>
      </c>
      <c r="Q31" s="162" t="s">
        <v>396</v>
      </c>
      <c r="R31" s="165">
        <v>0.3</v>
      </c>
      <c r="S31" s="163">
        <f>Z31*R31</f>
        <v>42.42</v>
      </c>
      <c r="T31" s="163">
        <f>S31*3</f>
        <v>127.26</v>
      </c>
      <c r="U31" s="165">
        <f>AA31/Z31</f>
        <v>0.3</v>
      </c>
      <c r="V31" s="163">
        <f>Z31*U31</f>
        <v>42.42</v>
      </c>
      <c r="W31" s="163">
        <f>V31*3</f>
        <v>127.26</v>
      </c>
      <c r="X31" s="164">
        <f>O31/Z31</f>
        <v>1040124.3203677511</v>
      </c>
      <c r="Y31" s="164">
        <f>O31/AA31</f>
        <v>3467081.0678925035</v>
      </c>
      <c r="Z31" s="163">
        <v>141.4</v>
      </c>
      <c r="AA31" s="163">
        <v>42.42</v>
      </c>
      <c r="AB31" s="162" t="s">
        <v>397</v>
      </c>
      <c r="AC31" s="162" t="s">
        <v>80</v>
      </c>
      <c r="AD31" s="166">
        <v>0.86500000000000021</v>
      </c>
      <c r="AE31" s="166">
        <v>0.37</v>
      </c>
      <c r="AF31" s="166">
        <v>0.76600000000000013</v>
      </c>
      <c r="AG31" s="166">
        <v>0.9</v>
      </c>
      <c r="AH31" s="166">
        <v>0</v>
      </c>
      <c r="AI31" s="166">
        <v>0.9</v>
      </c>
      <c r="AJ31" s="166">
        <v>0.9</v>
      </c>
      <c r="AK31" s="166">
        <v>0.9</v>
      </c>
      <c r="AL31" s="166">
        <v>1</v>
      </c>
      <c r="AM31" s="166">
        <v>0</v>
      </c>
      <c r="AN31" s="166">
        <v>0.9</v>
      </c>
      <c r="AO31" s="166">
        <v>0</v>
      </c>
      <c r="AP31" s="166">
        <v>1</v>
      </c>
      <c r="AQ31" s="166">
        <v>1</v>
      </c>
      <c r="AR31" s="166">
        <v>0</v>
      </c>
      <c r="AS31" s="166">
        <v>1</v>
      </c>
      <c r="AT31" s="166">
        <v>0</v>
      </c>
      <c r="AU31" s="166">
        <v>0.5</v>
      </c>
      <c r="AV31" s="166">
        <v>0</v>
      </c>
      <c r="AW31" s="166">
        <v>0</v>
      </c>
      <c r="AX31" s="166">
        <v>0</v>
      </c>
    </row>
    <row r="32" spans="1:50" x14ac:dyDescent="0.25">
      <c r="A32" s="162">
        <v>31</v>
      </c>
      <c r="B32" s="162">
        <v>7</v>
      </c>
      <c r="C32" s="195" t="s">
        <v>398</v>
      </c>
      <c r="D32" s="162" t="s">
        <v>398</v>
      </c>
      <c r="E32" s="162" t="s">
        <v>84</v>
      </c>
      <c r="F32" s="162" t="s">
        <v>399</v>
      </c>
      <c r="G32" s="162" t="s">
        <v>236</v>
      </c>
      <c r="H32" s="162" t="s">
        <v>400</v>
      </c>
      <c r="I32" s="195" t="s">
        <v>401</v>
      </c>
      <c r="J32" s="195" t="s">
        <v>402</v>
      </c>
      <c r="K32" s="163">
        <v>3</v>
      </c>
      <c r="L32" s="566" t="s">
        <v>486</v>
      </c>
      <c r="M32" s="566" t="s">
        <v>487</v>
      </c>
      <c r="N32" s="566" t="s">
        <v>517</v>
      </c>
      <c r="O32" s="575" t="s">
        <v>518</v>
      </c>
      <c r="P32" s="575" t="s">
        <v>489</v>
      </c>
      <c r="Q32" s="199" t="s">
        <v>445</v>
      </c>
      <c r="R32" s="165">
        <v>0.3</v>
      </c>
      <c r="S32" s="163">
        <f>Z32*R32</f>
        <v>101.7</v>
      </c>
      <c r="T32" s="163">
        <f>S32*3</f>
        <v>305.10000000000002</v>
      </c>
      <c r="U32" s="165">
        <f>AA32/Z32</f>
        <v>0.3</v>
      </c>
      <c r="V32" s="163">
        <f>Z32*U32</f>
        <v>101.7</v>
      </c>
      <c r="W32" s="163">
        <f>V32*3</f>
        <v>305.10000000000002</v>
      </c>
      <c r="X32" s="164" t="e">
        <f>O32/Z32</f>
        <v>#VALUE!</v>
      </c>
      <c r="Y32" s="164" t="e">
        <f>O32/AA32</f>
        <v>#VALUE!</v>
      </c>
      <c r="Z32" s="163">
        <v>339</v>
      </c>
      <c r="AA32" s="163">
        <v>101.7</v>
      </c>
      <c r="AB32" s="162" t="s">
        <v>250</v>
      </c>
      <c r="AC32" s="162" t="s">
        <v>85</v>
      </c>
      <c r="AD32" s="166">
        <v>0.83750000000000013</v>
      </c>
      <c r="AE32" s="166">
        <v>0.83750000000000013</v>
      </c>
      <c r="AF32" s="166">
        <v>0.83750000000000013</v>
      </c>
      <c r="AG32" s="166">
        <v>1</v>
      </c>
      <c r="AH32" s="166">
        <v>1</v>
      </c>
      <c r="AI32" s="166">
        <v>0.8</v>
      </c>
      <c r="AJ32" s="166">
        <v>0.9</v>
      </c>
      <c r="AK32" s="166">
        <v>0.9</v>
      </c>
      <c r="AL32" s="166">
        <v>1</v>
      </c>
      <c r="AM32" s="166">
        <v>1</v>
      </c>
      <c r="AN32" s="166">
        <v>1</v>
      </c>
      <c r="AO32" s="166">
        <v>1</v>
      </c>
      <c r="AP32" s="166">
        <v>1</v>
      </c>
      <c r="AQ32" s="166">
        <v>1</v>
      </c>
      <c r="AR32" s="166">
        <v>1</v>
      </c>
      <c r="AS32" s="166">
        <v>0.05</v>
      </c>
      <c r="AT32" s="166">
        <v>0.05</v>
      </c>
      <c r="AU32" s="166">
        <v>0.5</v>
      </c>
      <c r="AV32" s="166">
        <v>0.5</v>
      </c>
      <c r="AW32" s="166">
        <v>0</v>
      </c>
      <c r="AX32" s="166">
        <v>0</v>
      </c>
    </row>
    <row r="33" spans="1:50" x14ac:dyDescent="0.25">
      <c r="A33" s="162">
        <v>32</v>
      </c>
      <c r="B33" s="162">
        <v>8</v>
      </c>
      <c r="C33" s="195" t="s">
        <v>404</v>
      </c>
      <c r="D33" s="162" t="s">
        <v>404</v>
      </c>
      <c r="E33" s="162" t="s">
        <v>88</v>
      </c>
      <c r="F33" s="162" t="s">
        <v>399</v>
      </c>
      <c r="G33" s="162" t="s">
        <v>236</v>
      </c>
      <c r="H33" s="162" t="s">
        <v>400</v>
      </c>
      <c r="I33" s="195" t="s">
        <v>405</v>
      </c>
      <c r="J33" s="195" t="s">
        <v>406</v>
      </c>
      <c r="K33" s="163">
        <v>3</v>
      </c>
      <c r="L33" s="566" t="s">
        <v>486</v>
      </c>
      <c r="M33" s="566" t="s">
        <v>487</v>
      </c>
      <c r="N33" s="566" t="s">
        <v>517</v>
      </c>
      <c r="O33" s="164">
        <v>925310833</v>
      </c>
      <c r="P33" s="164" t="s">
        <v>489</v>
      </c>
      <c r="Q33" s="199" t="s">
        <v>445</v>
      </c>
      <c r="R33" s="165">
        <v>0.3</v>
      </c>
      <c r="S33" s="163">
        <f>Z33*R33</f>
        <v>54</v>
      </c>
      <c r="T33" s="163">
        <f>S33*3</f>
        <v>162</v>
      </c>
      <c r="U33" s="165">
        <f>AA33/Z33</f>
        <v>0.3</v>
      </c>
      <c r="V33" s="163">
        <f>Z33*U33</f>
        <v>54</v>
      </c>
      <c r="W33" s="163">
        <f>V33*3</f>
        <v>162</v>
      </c>
      <c r="X33" s="164">
        <f>O33/Z33</f>
        <v>5140615.7388888886</v>
      </c>
      <c r="Y33" s="164">
        <f>O33/AA33</f>
        <v>17135385.796296295</v>
      </c>
      <c r="Z33" s="163">
        <v>180</v>
      </c>
      <c r="AA33" s="163">
        <v>54</v>
      </c>
      <c r="AB33" s="162" t="s">
        <v>250</v>
      </c>
      <c r="AC33" s="162" t="s">
        <v>85</v>
      </c>
      <c r="AD33" s="166">
        <v>0.83750000000000013</v>
      </c>
      <c r="AE33" s="166">
        <v>0.83750000000000013</v>
      </c>
      <c r="AF33" s="166">
        <v>0.83750000000000013</v>
      </c>
      <c r="AG33" s="166">
        <v>1</v>
      </c>
      <c r="AH33" s="166">
        <v>1</v>
      </c>
      <c r="AI33" s="166">
        <v>0.8</v>
      </c>
      <c r="AJ33" s="166">
        <v>0.9</v>
      </c>
      <c r="AK33" s="166">
        <v>0.9</v>
      </c>
      <c r="AL33" s="166">
        <v>1</v>
      </c>
      <c r="AM33" s="166">
        <v>1</v>
      </c>
      <c r="AN33" s="166">
        <v>1</v>
      </c>
      <c r="AO33" s="166">
        <v>1</v>
      </c>
      <c r="AP33" s="166">
        <v>1</v>
      </c>
      <c r="AQ33" s="166">
        <v>1</v>
      </c>
      <c r="AR33" s="166">
        <v>1</v>
      </c>
      <c r="AS33" s="166">
        <v>0.05</v>
      </c>
      <c r="AT33" s="166">
        <v>0.05</v>
      </c>
      <c r="AU33" s="166">
        <v>0.5</v>
      </c>
      <c r="AV33" s="166">
        <v>0.5</v>
      </c>
      <c r="AW33" s="166">
        <v>0</v>
      </c>
      <c r="AX33" s="166">
        <v>0</v>
      </c>
    </row>
    <row r="34" spans="1:50" x14ac:dyDescent="0.25">
      <c r="A34" s="162">
        <v>33</v>
      </c>
      <c r="B34" s="162">
        <v>9</v>
      </c>
      <c r="C34" s="195" t="s">
        <v>407</v>
      </c>
      <c r="D34" s="162" t="s">
        <v>407</v>
      </c>
      <c r="E34" s="162" t="s">
        <v>95</v>
      </c>
      <c r="F34" s="162" t="s">
        <v>399</v>
      </c>
      <c r="G34" s="162" t="s">
        <v>236</v>
      </c>
      <c r="H34" s="162" t="s">
        <v>400</v>
      </c>
      <c r="I34" s="195" t="s">
        <v>401</v>
      </c>
      <c r="J34" s="195" t="s">
        <v>402</v>
      </c>
      <c r="K34" s="163">
        <v>3</v>
      </c>
      <c r="L34" s="566" t="s">
        <v>486</v>
      </c>
      <c r="M34" s="566" t="s">
        <v>487</v>
      </c>
      <c r="N34" s="566" t="s">
        <v>517</v>
      </c>
      <c r="O34" s="575" t="s">
        <v>518</v>
      </c>
      <c r="P34" s="575" t="s">
        <v>489</v>
      </c>
      <c r="Q34" s="199" t="s">
        <v>445</v>
      </c>
      <c r="R34" s="165">
        <v>0.3</v>
      </c>
      <c r="S34" s="163">
        <f>Z34*R34</f>
        <v>101.7</v>
      </c>
      <c r="T34" s="163">
        <f>S34*3</f>
        <v>305.10000000000002</v>
      </c>
      <c r="U34" s="165">
        <f>AA34/Z34</f>
        <v>0.3</v>
      </c>
      <c r="V34" s="163">
        <f>Z34*U34</f>
        <v>101.7</v>
      </c>
      <c r="W34" s="163">
        <f>V34*3</f>
        <v>305.10000000000002</v>
      </c>
      <c r="X34" s="164" t="e">
        <f>O34/Z34</f>
        <v>#VALUE!</v>
      </c>
      <c r="Y34" s="164" t="e">
        <f>O34/AA34</f>
        <v>#VALUE!</v>
      </c>
      <c r="Z34" s="163">
        <v>339</v>
      </c>
      <c r="AA34" s="163">
        <v>101.7</v>
      </c>
      <c r="AB34" s="162" t="s">
        <v>250</v>
      </c>
      <c r="AC34" s="162" t="s">
        <v>85</v>
      </c>
      <c r="AD34" s="166">
        <v>0.82750000000000012</v>
      </c>
      <c r="AE34" s="166">
        <v>0.82750000000000012</v>
      </c>
      <c r="AF34" s="166">
        <v>0.82750000000000012</v>
      </c>
      <c r="AG34" s="166">
        <v>1</v>
      </c>
      <c r="AH34" s="166">
        <v>1</v>
      </c>
      <c r="AI34" s="166">
        <v>0.8</v>
      </c>
      <c r="AJ34" s="166">
        <v>0.9</v>
      </c>
      <c r="AK34" s="166">
        <v>0.9</v>
      </c>
      <c r="AL34" s="166">
        <v>0.9</v>
      </c>
      <c r="AM34" s="166">
        <v>0.9</v>
      </c>
      <c r="AN34" s="166">
        <v>1</v>
      </c>
      <c r="AO34" s="166">
        <v>1</v>
      </c>
      <c r="AP34" s="166">
        <v>1</v>
      </c>
      <c r="AQ34" s="166">
        <v>1</v>
      </c>
      <c r="AR34" s="166">
        <v>1</v>
      </c>
      <c r="AS34" s="166">
        <v>0.05</v>
      </c>
      <c r="AT34" s="166">
        <v>0.05</v>
      </c>
      <c r="AU34" s="166">
        <v>0.5</v>
      </c>
      <c r="AV34" s="166">
        <v>0.5</v>
      </c>
      <c r="AW34" s="166">
        <v>0</v>
      </c>
      <c r="AX34" s="166">
        <v>0</v>
      </c>
    </row>
    <row r="35" spans="1:50" s="172" customFormat="1" x14ac:dyDescent="0.25">
      <c r="A35" s="168">
        <v>34</v>
      </c>
      <c r="B35" s="162">
        <v>4</v>
      </c>
      <c r="C35" s="168" t="s">
        <v>408</v>
      </c>
      <c r="D35" s="162" t="s">
        <v>408</v>
      </c>
      <c r="E35" s="162" t="s">
        <v>97</v>
      </c>
      <c r="F35" s="168" t="s">
        <v>409</v>
      </c>
      <c r="G35" s="168" t="s">
        <v>236</v>
      </c>
      <c r="H35" s="168" t="s">
        <v>410</v>
      </c>
      <c r="I35" s="168" t="s">
        <v>411</v>
      </c>
      <c r="J35" s="168" t="s">
        <v>412</v>
      </c>
      <c r="K35" s="169">
        <v>3</v>
      </c>
      <c r="L35" s="567" t="s">
        <v>490</v>
      </c>
      <c r="M35" s="567" t="s">
        <v>513</v>
      </c>
      <c r="N35" s="567" t="s">
        <v>510</v>
      </c>
      <c r="O35" s="164">
        <v>161106071.69999999</v>
      </c>
      <c r="P35" s="164" t="s">
        <v>489</v>
      </c>
      <c r="Q35" s="198" t="s">
        <v>446</v>
      </c>
      <c r="R35" s="170">
        <v>0.3</v>
      </c>
      <c r="S35" s="169">
        <f>Z35*R35</f>
        <v>37.5</v>
      </c>
      <c r="T35" s="169">
        <f>S35*3</f>
        <v>112.5</v>
      </c>
      <c r="U35" s="170">
        <f>AA35/Z35</f>
        <v>0.3</v>
      </c>
      <c r="V35" s="169">
        <f>Z35*U35</f>
        <v>37.5</v>
      </c>
      <c r="W35" s="169">
        <f>V35*3</f>
        <v>112.5</v>
      </c>
      <c r="X35" s="171">
        <f>O35/Z35</f>
        <v>1288848.5736</v>
      </c>
      <c r="Y35" s="171">
        <f>O35/AA35</f>
        <v>4296161.9119999995</v>
      </c>
      <c r="Z35" s="169">
        <v>125</v>
      </c>
      <c r="AA35" s="169">
        <v>37.5</v>
      </c>
      <c r="AB35" s="168" t="s">
        <v>269</v>
      </c>
      <c r="AC35" s="168" t="s">
        <v>98</v>
      </c>
      <c r="AD35" s="166">
        <v>0.8450000000000002</v>
      </c>
      <c r="AE35" s="166">
        <v>0.77000000000000024</v>
      </c>
      <c r="AF35" s="166">
        <v>0.83000000000000018</v>
      </c>
      <c r="AG35" s="166">
        <v>1</v>
      </c>
      <c r="AH35" s="166">
        <v>0</v>
      </c>
      <c r="AI35" s="166">
        <v>1</v>
      </c>
      <c r="AJ35" s="166">
        <v>0.9</v>
      </c>
      <c r="AK35" s="166">
        <v>0.9</v>
      </c>
      <c r="AL35" s="166">
        <v>0.8</v>
      </c>
      <c r="AM35" s="166">
        <v>1</v>
      </c>
      <c r="AN35" s="166">
        <v>1</v>
      </c>
      <c r="AO35" s="166">
        <v>1</v>
      </c>
      <c r="AP35" s="166">
        <v>0</v>
      </c>
      <c r="AQ35" s="166">
        <v>0.9</v>
      </c>
      <c r="AR35" s="166">
        <v>1</v>
      </c>
      <c r="AS35" s="166">
        <v>1</v>
      </c>
      <c r="AT35" s="166">
        <v>1</v>
      </c>
      <c r="AU35" s="166">
        <v>1</v>
      </c>
      <c r="AV35" s="166">
        <v>1</v>
      </c>
      <c r="AW35" s="166">
        <v>0.8</v>
      </c>
      <c r="AX35" s="166">
        <v>0.8</v>
      </c>
    </row>
    <row r="36" spans="1:50" x14ac:dyDescent="0.25">
      <c r="A36" s="173">
        <v>35</v>
      </c>
      <c r="B36" s="162">
        <v>28</v>
      </c>
      <c r="C36" s="173" t="s">
        <v>413</v>
      </c>
      <c r="D36" s="173" t="s">
        <v>413</v>
      </c>
      <c r="E36" s="173" t="s">
        <v>189</v>
      </c>
      <c r="F36" s="173" t="s">
        <v>414</v>
      </c>
      <c r="G36" s="173" t="s">
        <v>236</v>
      </c>
      <c r="H36" s="173" t="s">
        <v>415</v>
      </c>
      <c r="I36" s="173" t="s">
        <v>416</v>
      </c>
      <c r="J36" s="173" t="s">
        <v>417</v>
      </c>
      <c r="K36" s="174" t="s">
        <v>418</v>
      </c>
      <c r="L36" s="568" t="s">
        <v>519</v>
      </c>
      <c r="M36" s="568" t="s">
        <v>520</v>
      </c>
      <c r="N36" s="568" t="s">
        <v>403</v>
      </c>
      <c r="O36" s="176" t="s">
        <v>403</v>
      </c>
      <c r="P36" s="176" t="s">
        <v>489</v>
      </c>
      <c r="Q36" s="173" t="s">
        <v>403</v>
      </c>
      <c r="R36" s="165">
        <v>0.3</v>
      </c>
      <c r="S36" s="163">
        <f>Z36*R36</f>
        <v>81</v>
      </c>
      <c r="T36" s="163">
        <f>S36*3</f>
        <v>243</v>
      </c>
      <c r="U36" s="165">
        <f>AA36/Z36</f>
        <v>0.3</v>
      </c>
      <c r="V36" s="163">
        <f>Z36*U36</f>
        <v>81</v>
      </c>
      <c r="W36" s="163">
        <f>V36*3</f>
        <v>243</v>
      </c>
      <c r="X36" s="164" t="e">
        <f>O36/Z36</f>
        <v>#VALUE!</v>
      </c>
      <c r="Y36" s="164" t="e">
        <f>O36/AA36</f>
        <v>#VALUE!</v>
      </c>
      <c r="Z36" s="174">
        <v>270</v>
      </c>
      <c r="AA36" s="174">
        <v>81</v>
      </c>
      <c r="AB36" s="173" t="s">
        <v>419</v>
      </c>
      <c r="AC36" s="173" t="s">
        <v>190</v>
      </c>
      <c r="AD36" s="166">
        <v>0.44000000000000006</v>
      </c>
      <c r="AE36" s="166">
        <v>0.255</v>
      </c>
      <c r="AF36" s="166">
        <v>0.40300000000000008</v>
      </c>
      <c r="AG36" s="166">
        <v>0.5</v>
      </c>
      <c r="AH36" s="166">
        <v>0.3</v>
      </c>
      <c r="AI36" s="166">
        <v>1</v>
      </c>
      <c r="AJ36" s="166">
        <v>0.7</v>
      </c>
      <c r="AK36" s="166">
        <v>0</v>
      </c>
      <c r="AL36" s="166">
        <v>0</v>
      </c>
      <c r="AM36" s="166">
        <v>0</v>
      </c>
      <c r="AN36" s="166">
        <v>0</v>
      </c>
      <c r="AO36" s="166">
        <v>0</v>
      </c>
      <c r="AP36" s="166">
        <v>1</v>
      </c>
      <c r="AQ36" s="166">
        <v>0</v>
      </c>
      <c r="AR36" s="166">
        <v>0</v>
      </c>
      <c r="AS36" s="166">
        <v>0.5</v>
      </c>
      <c r="AT36" s="166">
        <v>0.5</v>
      </c>
      <c r="AU36" s="166">
        <v>0.5</v>
      </c>
      <c r="AV36" s="166">
        <v>0</v>
      </c>
      <c r="AW36" s="166">
        <v>0</v>
      </c>
      <c r="AX36" s="166">
        <v>0</v>
      </c>
    </row>
    <row r="37" spans="1:50" x14ac:dyDescent="0.25">
      <c r="A37" s="173">
        <v>36</v>
      </c>
      <c r="B37" s="162">
        <v>10</v>
      </c>
      <c r="C37" s="173" t="s">
        <v>420</v>
      </c>
      <c r="D37" s="173" t="s">
        <v>420</v>
      </c>
      <c r="E37" s="173" t="s">
        <v>157</v>
      </c>
      <c r="F37" s="194" t="s">
        <v>421</v>
      </c>
      <c r="G37" s="173" t="s">
        <v>236</v>
      </c>
      <c r="H37" s="173" t="s">
        <v>384</v>
      </c>
      <c r="I37" s="173" t="s">
        <v>343</v>
      </c>
      <c r="J37" s="173" t="s">
        <v>422</v>
      </c>
      <c r="K37" s="174" t="s">
        <v>418</v>
      </c>
      <c r="L37" s="568" t="s">
        <v>492</v>
      </c>
      <c r="M37" s="568" t="s">
        <v>507</v>
      </c>
      <c r="N37" s="568" t="s">
        <v>403</v>
      </c>
      <c r="O37" s="175" t="s">
        <v>403</v>
      </c>
      <c r="P37" s="175" t="s">
        <v>489</v>
      </c>
      <c r="Q37" s="175" t="s">
        <v>403</v>
      </c>
      <c r="R37" s="165">
        <v>0.3</v>
      </c>
      <c r="S37" s="163">
        <f>Z37*R37</f>
        <v>90</v>
      </c>
      <c r="T37" s="163">
        <f>S37*3</f>
        <v>270</v>
      </c>
      <c r="U37" s="165">
        <f>AA37/Z37</f>
        <v>0.3</v>
      </c>
      <c r="V37" s="163">
        <f>Z37*U37</f>
        <v>90</v>
      </c>
      <c r="W37" s="163">
        <f>V37*3</f>
        <v>270</v>
      </c>
      <c r="X37" s="164" t="e">
        <f>O37/Z37</f>
        <v>#VALUE!</v>
      </c>
      <c r="Y37" s="164" t="e">
        <f>O37/AA37</f>
        <v>#VALUE!</v>
      </c>
      <c r="Z37" s="174">
        <v>300</v>
      </c>
      <c r="AA37" s="174">
        <v>90</v>
      </c>
      <c r="AB37" s="173" t="s">
        <v>255</v>
      </c>
      <c r="AC37" s="173" t="s">
        <v>104</v>
      </c>
      <c r="AD37" s="166">
        <v>0.35000000000000003</v>
      </c>
      <c r="AE37" s="166">
        <v>0.40000000000000008</v>
      </c>
      <c r="AF37" s="166">
        <v>0.36000000000000004</v>
      </c>
      <c r="AG37" s="166">
        <v>0.5</v>
      </c>
      <c r="AH37" s="166">
        <v>1</v>
      </c>
      <c r="AI37" s="166">
        <v>0</v>
      </c>
      <c r="AJ37" s="166">
        <v>0</v>
      </c>
      <c r="AK37" s="166">
        <v>0</v>
      </c>
      <c r="AL37" s="166">
        <v>0</v>
      </c>
      <c r="AM37" s="166">
        <v>0</v>
      </c>
      <c r="AN37" s="166">
        <v>0.5</v>
      </c>
      <c r="AO37" s="166">
        <v>0.5</v>
      </c>
      <c r="AP37" s="166">
        <v>1</v>
      </c>
      <c r="AQ37" s="166">
        <v>1</v>
      </c>
      <c r="AR37" s="166">
        <v>1</v>
      </c>
      <c r="AS37" s="166">
        <v>0.5</v>
      </c>
      <c r="AT37" s="166">
        <v>0.5</v>
      </c>
      <c r="AU37" s="166">
        <v>0.5</v>
      </c>
      <c r="AV37" s="166">
        <v>0.5</v>
      </c>
      <c r="AW37" s="166">
        <v>0</v>
      </c>
      <c r="AX37" s="166">
        <v>0</v>
      </c>
    </row>
    <row r="38" spans="1:50" x14ac:dyDescent="0.25">
      <c r="A38" s="173">
        <v>37</v>
      </c>
      <c r="B38" s="162">
        <v>12</v>
      </c>
      <c r="C38" s="173" t="s">
        <v>423</v>
      </c>
      <c r="D38" s="173" t="s">
        <v>423</v>
      </c>
      <c r="E38" s="173" t="s">
        <v>160</v>
      </c>
      <c r="F38" s="194" t="s">
        <v>421</v>
      </c>
      <c r="G38" s="173" t="s">
        <v>236</v>
      </c>
      <c r="H38" s="173" t="s">
        <v>384</v>
      </c>
      <c r="I38" s="173" t="s">
        <v>343</v>
      </c>
      <c r="J38" s="173" t="s">
        <v>422</v>
      </c>
      <c r="K38" s="174" t="s">
        <v>418</v>
      </c>
      <c r="L38" s="568" t="s">
        <v>492</v>
      </c>
      <c r="M38" s="568" t="s">
        <v>507</v>
      </c>
      <c r="N38" s="568" t="s">
        <v>403</v>
      </c>
      <c r="O38" s="175" t="s">
        <v>403</v>
      </c>
      <c r="P38" s="175" t="s">
        <v>489</v>
      </c>
      <c r="Q38" s="175" t="s">
        <v>403</v>
      </c>
      <c r="R38" s="165">
        <v>0.3</v>
      </c>
      <c r="S38" s="163">
        <f>Z38*R38</f>
        <v>90</v>
      </c>
      <c r="T38" s="163">
        <f>S38*3</f>
        <v>270</v>
      </c>
      <c r="U38" s="165">
        <f>AA38/Z38</f>
        <v>0.3</v>
      </c>
      <c r="V38" s="163">
        <f>Z38*U38</f>
        <v>90</v>
      </c>
      <c r="W38" s="163">
        <f>V38*3</f>
        <v>270</v>
      </c>
      <c r="X38" s="164" t="e">
        <f>O38/Z38</f>
        <v>#VALUE!</v>
      </c>
      <c r="Y38" s="164" t="e">
        <f>O38/AA38</f>
        <v>#VALUE!</v>
      </c>
      <c r="Z38" s="174">
        <v>300</v>
      </c>
      <c r="AA38" s="174">
        <v>90</v>
      </c>
      <c r="AB38" s="173" t="s">
        <v>255</v>
      </c>
      <c r="AC38" s="173" t="s">
        <v>104</v>
      </c>
      <c r="AD38" s="166">
        <v>0.49000000000000005</v>
      </c>
      <c r="AE38" s="166">
        <v>0.53999999999999992</v>
      </c>
      <c r="AF38" s="166">
        <v>0.5</v>
      </c>
      <c r="AG38" s="166">
        <v>0.5</v>
      </c>
      <c r="AH38" s="166">
        <v>1</v>
      </c>
      <c r="AI38" s="166">
        <v>0</v>
      </c>
      <c r="AJ38" s="166">
        <v>0.6</v>
      </c>
      <c r="AK38" s="166">
        <v>0.6</v>
      </c>
      <c r="AL38" s="166">
        <v>0</v>
      </c>
      <c r="AM38" s="166">
        <v>0</v>
      </c>
      <c r="AN38" s="166">
        <v>0.6</v>
      </c>
      <c r="AO38" s="166">
        <v>0.6</v>
      </c>
      <c r="AP38" s="166">
        <v>1</v>
      </c>
      <c r="AQ38" s="166">
        <v>1</v>
      </c>
      <c r="AR38" s="166">
        <v>1</v>
      </c>
      <c r="AS38" s="166">
        <v>0.5</v>
      </c>
      <c r="AT38" s="166">
        <v>0.5</v>
      </c>
      <c r="AU38" s="166">
        <v>0</v>
      </c>
      <c r="AV38" s="166">
        <v>0</v>
      </c>
      <c r="AW38" s="166">
        <v>0.5</v>
      </c>
      <c r="AX38" s="166">
        <v>0.5</v>
      </c>
    </row>
    <row r="39" spans="1:50" x14ac:dyDescent="0.25">
      <c r="A39" s="173">
        <v>38</v>
      </c>
      <c r="B39" s="162">
        <v>11</v>
      </c>
      <c r="C39" s="173" t="s">
        <v>424</v>
      </c>
      <c r="D39" s="173" t="s">
        <v>424</v>
      </c>
      <c r="E39" s="173" t="s">
        <v>159</v>
      </c>
      <c r="F39" s="194" t="s">
        <v>421</v>
      </c>
      <c r="G39" s="173" t="s">
        <v>236</v>
      </c>
      <c r="H39" s="173" t="s">
        <v>384</v>
      </c>
      <c r="I39" s="173" t="s">
        <v>343</v>
      </c>
      <c r="J39" s="173" t="s">
        <v>422</v>
      </c>
      <c r="K39" s="174" t="s">
        <v>418</v>
      </c>
      <c r="L39" s="568" t="s">
        <v>492</v>
      </c>
      <c r="M39" s="568" t="s">
        <v>507</v>
      </c>
      <c r="N39" s="568" t="s">
        <v>403</v>
      </c>
      <c r="O39" s="175" t="s">
        <v>403</v>
      </c>
      <c r="P39" s="175" t="s">
        <v>489</v>
      </c>
      <c r="Q39" s="175" t="s">
        <v>403</v>
      </c>
      <c r="R39" s="165">
        <v>0.3</v>
      </c>
      <c r="S39" s="163">
        <f>Z39*R39</f>
        <v>90</v>
      </c>
      <c r="T39" s="163">
        <f>S39*3</f>
        <v>270</v>
      </c>
      <c r="U39" s="165">
        <f>AA39/Z39</f>
        <v>0.3</v>
      </c>
      <c r="V39" s="163">
        <f>Z39*U39</f>
        <v>90</v>
      </c>
      <c r="W39" s="163">
        <f>V39*3</f>
        <v>270</v>
      </c>
      <c r="X39" s="164" t="e">
        <f>O39/Z39</f>
        <v>#VALUE!</v>
      </c>
      <c r="Y39" s="164" t="e">
        <f>O39/AA39</f>
        <v>#VALUE!</v>
      </c>
      <c r="Z39" s="174">
        <v>300</v>
      </c>
      <c r="AA39" s="174">
        <v>90</v>
      </c>
      <c r="AB39" s="173" t="s">
        <v>255</v>
      </c>
      <c r="AC39" s="173" t="s">
        <v>104</v>
      </c>
      <c r="AD39" s="166">
        <v>0.35000000000000003</v>
      </c>
      <c r="AE39" s="166">
        <v>0.35000000000000003</v>
      </c>
      <c r="AF39" s="166">
        <v>0.35000000000000003</v>
      </c>
      <c r="AG39" s="166">
        <v>0.5</v>
      </c>
      <c r="AH39" s="166">
        <v>0.5</v>
      </c>
      <c r="AI39" s="166">
        <v>0</v>
      </c>
      <c r="AJ39" s="166">
        <v>0</v>
      </c>
      <c r="AK39" s="166">
        <v>0</v>
      </c>
      <c r="AL39" s="166">
        <v>0</v>
      </c>
      <c r="AM39" s="166">
        <v>0</v>
      </c>
      <c r="AN39" s="166">
        <v>0.5</v>
      </c>
      <c r="AO39" s="166">
        <v>0.5</v>
      </c>
      <c r="AP39" s="166">
        <v>1</v>
      </c>
      <c r="AQ39" s="166">
        <v>1</v>
      </c>
      <c r="AR39" s="166">
        <v>1</v>
      </c>
      <c r="AS39" s="166">
        <v>0.5</v>
      </c>
      <c r="AT39" s="166">
        <v>0.5</v>
      </c>
      <c r="AU39" s="166">
        <v>0</v>
      </c>
      <c r="AV39" s="166">
        <v>0</v>
      </c>
      <c r="AW39" s="166">
        <v>0.5</v>
      </c>
      <c r="AX39" s="166">
        <v>0.5</v>
      </c>
    </row>
    <row r="40" spans="1:50" x14ac:dyDescent="0.25">
      <c r="A40" s="177">
        <v>39</v>
      </c>
      <c r="B40" s="162">
        <v>34</v>
      </c>
      <c r="C40" s="177" t="s">
        <v>425</v>
      </c>
      <c r="D40" s="177" t="s">
        <v>425</v>
      </c>
      <c r="E40" s="177" t="s">
        <v>206</v>
      </c>
      <c r="F40" s="197" t="s">
        <v>444</v>
      </c>
      <c r="G40" s="177" t="s">
        <v>245</v>
      </c>
      <c r="H40" s="177" t="s">
        <v>426</v>
      </c>
      <c r="I40" s="177" t="s">
        <v>427</v>
      </c>
      <c r="J40" s="177" t="s">
        <v>428</v>
      </c>
      <c r="K40" s="178" t="s">
        <v>418</v>
      </c>
      <c r="L40" s="569" t="s">
        <v>403</v>
      </c>
      <c r="M40" s="569" t="s">
        <v>403</v>
      </c>
      <c r="N40" s="570" t="s">
        <v>403</v>
      </c>
      <c r="O40" s="179" t="s">
        <v>403</v>
      </c>
      <c r="P40" s="179" t="s">
        <v>489</v>
      </c>
      <c r="Q40" s="179" t="s">
        <v>403</v>
      </c>
      <c r="R40" s="165">
        <v>0.3</v>
      </c>
      <c r="S40" s="163">
        <f>Z40*R40</f>
        <v>174</v>
      </c>
      <c r="T40" s="163">
        <f>S40*3</f>
        <v>522</v>
      </c>
      <c r="U40" s="165">
        <f>AA40/Z40</f>
        <v>0.3</v>
      </c>
      <c r="V40" s="163">
        <f>Z40*U40</f>
        <v>174</v>
      </c>
      <c r="W40" s="163">
        <f>V40*3</f>
        <v>522</v>
      </c>
      <c r="X40" s="164" t="e">
        <f>O40/Z40</f>
        <v>#VALUE!</v>
      </c>
      <c r="Y40" s="164" t="e">
        <f>O40/AA40</f>
        <v>#VALUE!</v>
      </c>
      <c r="Z40" s="178">
        <v>580</v>
      </c>
      <c r="AA40" s="178">
        <v>174</v>
      </c>
      <c r="AB40" s="177" t="s">
        <v>277</v>
      </c>
      <c r="AC40" s="177" t="s">
        <v>429</v>
      </c>
      <c r="AD40" s="166">
        <v>0.03</v>
      </c>
      <c r="AE40" s="166">
        <v>0</v>
      </c>
      <c r="AF40" s="166">
        <v>2.4E-2</v>
      </c>
      <c r="AG40" s="166">
        <v>0.3</v>
      </c>
      <c r="AH40" s="166">
        <v>0</v>
      </c>
      <c r="AI40" s="166">
        <v>0</v>
      </c>
      <c r="AJ40" s="166">
        <v>0</v>
      </c>
      <c r="AK40" s="166">
        <v>0</v>
      </c>
      <c r="AL40" s="166">
        <v>0</v>
      </c>
      <c r="AM40" s="166">
        <v>0</v>
      </c>
      <c r="AN40" s="166">
        <v>0</v>
      </c>
      <c r="AO40" s="166">
        <v>0</v>
      </c>
      <c r="AP40" s="166">
        <v>0</v>
      </c>
      <c r="AQ40" s="166">
        <v>0</v>
      </c>
      <c r="AR40" s="166">
        <v>0</v>
      </c>
      <c r="AS40" s="166">
        <v>0</v>
      </c>
      <c r="AT40" s="166">
        <v>0</v>
      </c>
      <c r="AU40" s="166">
        <v>0</v>
      </c>
      <c r="AV40" s="166">
        <v>0</v>
      </c>
      <c r="AW40" s="166">
        <v>0</v>
      </c>
      <c r="AX40" s="166">
        <v>0</v>
      </c>
    </row>
    <row r="41" spans="1:50" x14ac:dyDescent="0.25">
      <c r="A41" s="177">
        <v>40</v>
      </c>
      <c r="B41" s="162">
        <v>35</v>
      </c>
      <c r="C41" s="399" t="s">
        <v>430</v>
      </c>
      <c r="D41" s="177" t="s">
        <v>430</v>
      </c>
      <c r="E41" s="177" t="s">
        <v>107</v>
      </c>
      <c r="F41" s="177" t="s">
        <v>272</v>
      </c>
      <c r="G41" s="177" t="s">
        <v>245</v>
      </c>
      <c r="H41" s="177" t="s">
        <v>279</v>
      </c>
      <c r="I41" s="177" t="s">
        <v>431</v>
      </c>
      <c r="J41" s="197" t="s">
        <v>442</v>
      </c>
      <c r="K41" s="178" t="s">
        <v>418</v>
      </c>
      <c r="L41" s="569" t="s">
        <v>403</v>
      </c>
      <c r="M41" s="569" t="s">
        <v>403</v>
      </c>
      <c r="N41" s="570" t="s">
        <v>403</v>
      </c>
      <c r="O41" s="179" t="s">
        <v>403</v>
      </c>
      <c r="P41" s="179" t="s">
        <v>489</v>
      </c>
      <c r="Q41" s="179" t="s">
        <v>403</v>
      </c>
      <c r="R41" s="165">
        <v>0.3</v>
      </c>
      <c r="S41" s="163">
        <f>Z41*R41</f>
        <v>35.1</v>
      </c>
      <c r="T41" s="163">
        <f>S41*3</f>
        <v>105.30000000000001</v>
      </c>
      <c r="U41" s="165">
        <f>AA41/Z41</f>
        <v>0.3</v>
      </c>
      <c r="V41" s="163">
        <f>Z41*U41</f>
        <v>35.1</v>
      </c>
      <c r="W41" s="163">
        <f>V41*3</f>
        <v>105.30000000000001</v>
      </c>
      <c r="X41" s="164" t="e">
        <f>O41/Z41</f>
        <v>#VALUE!</v>
      </c>
      <c r="Y41" s="164" t="e">
        <f>O41/AA41</f>
        <v>#VALUE!</v>
      </c>
      <c r="Z41" s="178">
        <v>117</v>
      </c>
      <c r="AA41" s="178">
        <v>35.1</v>
      </c>
      <c r="AB41" s="177" t="s">
        <v>277</v>
      </c>
      <c r="AC41" s="177" t="s">
        <v>108</v>
      </c>
      <c r="AD41" s="166">
        <v>0.83000000000000007</v>
      </c>
      <c r="AE41" s="166">
        <v>0.83000000000000007</v>
      </c>
      <c r="AF41" s="166">
        <v>0.83000000000000018</v>
      </c>
      <c r="AG41" s="166">
        <v>1</v>
      </c>
      <c r="AH41" s="166">
        <v>1</v>
      </c>
      <c r="AI41" s="166">
        <v>1</v>
      </c>
      <c r="AJ41" s="166">
        <v>0.9</v>
      </c>
      <c r="AK41" s="166">
        <v>0.9</v>
      </c>
      <c r="AL41" s="166">
        <v>1</v>
      </c>
      <c r="AM41" s="166">
        <v>1</v>
      </c>
      <c r="AN41" s="166">
        <v>0.8</v>
      </c>
      <c r="AO41" s="166">
        <v>0.8</v>
      </c>
      <c r="AP41" s="166">
        <v>1</v>
      </c>
      <c r="AQ41" s="166">
        <v>0.8</v>
      </c>
      <c r="AR41" s="166">
        <v>0.8</v>
      </c>
      <c r="AS41" s="166">
        <v>0.5</v>
      </c>
      <c r="AT41" s="166">
        <v>0.5</v>
      </c>
      <c r="AU41" s="166">
        <v>0.5</v>
      </c>
      <c r="AV41" s="166">
        <v>0.5</v>
      </c>
      <c r="AW41" s="166">
        <v>0</v>
      </c>
      <c r="AX41" s="166">
        <v>0</v>
      </c>
    </row>
    <row r="42" spans="1:50" ht="15.75" thickBot="1" x14ac:dyDescent="0.3">
      <c r="O42" s="182"/>
      <c r="P42" s="182"/>
    </row>
    <row r="43" spans="1:50" x14ac:dyDescent="0.25">
      <c r="N43" s="184" t="s">
        <v>432</v>
      </c>
      <c r="O43" s="185">
        <f>SUM(O2:O35)</f>
        <v>8080908973.6999998</v>
      </c>
      <c r="P43" s="571"/>
      <c r="Q43" s="205" t="s">
        <v>448</v>
      </c>
    </row>
    <row r="44" spans="1:50" x14ac:dyDescent="0.25">
      <c r="N44" s="186" t="s">
        <v>433</v>
      </c>
      <c r="O44" s="187">
        <f>SUM(O2,O4,O5,O6,O9,O10,O11,O12,O13,O14,O15,O16,O17,O18,O20,O21,O22,O23,O24,O25,O26,O29,O30,O31,O33,O35)</f>
        <v>4233220114.1999998</v>
      </c>
      <c r="P44" s="572"/>
      <c r="Q44" s="204" t="s">
        <v>447</v>
      </c>
    </row>
    <row r="45" spans="1:50" ht="15.75" thickBot="1" x14ac:dyDescent="0.3">
      <c r="N45" s="188" t="s">
        <v>434</v>
      </c>
      <c r="O45" s="189">
        <f>SUM(O3,O7,O8,O19,O27,O28)</f>
        <v>3847688859.5</v>
      </c>
      <c r="P45" s="573"/>
      <c r="Q45" s="190" t="s">
        <v>435</v>
      </c>
    </row>
    <row r="46" spans="1:50" ht="15.75" thickBot="1" x14ac:dyDescent="0.3"/>
    <row r="47" spans="1:50" x14ac:dyDescent="0.25">
      <c r="N47" s="184" t="s">
        <v>436</v>
      </c>
      <c r="O47" s="191">
        <f>AVERAGE(O2:O35)</f>
        <v>252528405.42812499</v>
      </c>
      <c r="P47" s="574"/>
    </row>
    <row r="48" spans="1:50" x14ac:dyDescent="0.25">
      <c r="N48" s="186" t="s">
        <v>437</v>
      </c>
      <c r="O48" s="192">
        <f>AVERAGE(O2,O4,O5,O6,O9,O10,O11,O12,O13,O14,O15,O16,O17,O18,O20,O21,O22,O23,O24,O25,O26,O29,O30,O31,O33,O35)</f>
        <v>162816158.23846152</v>
      </c>
      <c r="P48" s="574"/>
    </row>
    <row r="49" spans="14:16" ht="15.75" thickBot="1" x14ac:dyDescent="0.3">
      <c r="N49" s="188" t="s">
        <v>438</v>
      </c>
      <c r="O49" s="193">
        <f>AVERAGE(O3,O7,O8,O19,O27,O28)</f>
        <v>641281476.58333337</v>
      </c>
      <c r="P49" s="574"/>
    </row>
    <row r="50" spans="14:16" ht="15.75" thickBot="1" x14ac:dyDescent="0.3"/>
    <row r="51" spans="14:16" x14ac:dyDescent="0.25">
      <c r="N51" s="184" t="s">
        <v>439</v>
      </c>
      <c r="O51" s="191" t="e">
        <f>AVERAGE(X2:X35)</f>
        <v>#VALUE!</v>
      </c>
      <c r="P51" s="574"/>
    </row>
    <row r="52" spans="14:16" x14ac:dyDescent="0.25">
      <c r="N52" s="186" t="s">
        <v>440</v>
      </c>
      <c r="O52" s="192">
        <f>AVERAGE(X2,X4,X5,X6,X9,X10,X11,X12,X13,X14,X15,X16,X17,X18,X20,X21,X22,X23,X24,X25,X26,X29,X30,X31,X33,X35)</f>
        <v>1362852.3840122009</v>
      </c>
      <c r="P52" s="574"/>
    </row>
    <row r="53" spans="14:16" ht="15.75" thickBot="1" x14ac:dyDescent="0.3">
      <c r="N53" s="188" t="s">
        <v>441</v>
      </c>
      <c r="O53" s="193">
        <f>AVERAGE(X3,X7,X8,X19,X27,X28)</f>
        <v>1734228.5454464869</v>
      </c>
      <c r="P53" s="574"/>
    </row>
  </sheetData>
  <autoFilter ref="A1:AX1" xr:uid="{782B78D9-47D9-4EBC-8BEA-A91BF1F0B98F}"/>
  <pageMargins left="0.7" right="0.7" top="0.75" bottom="0.75" header="0.3" footer="0.3"/>
  <pageSetup orientation="portrait" verticalDpi="597" r:id="rId1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 Ejecutivo</vt:lpstr>
      <vt:lpstr>Proyectos ok</vt:lpstr>
      <vt:lpstr>Base de Datos</vt:lpstr>
      <vt:lpstr>CAPEX</vt:lpstr>
      <vt:lpstr>'Base de Datos'!Área_de_impresión</vt:lpstr>
      <vt:lpstr>'Proyectos ok'!Área_de_impresión</vt:lpstr>
      <vt:lpstr>'Resumen Ejecutivo'!Área_de_impresión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CPEL</dc:creator>
  <cp:keywords/>
  <dc:description/>
  <cp:lastModifiedBy>CRISTOFER MARTI HERNANDEZ AGUILAR</cp:lastModifiedBy>
  <cp:revision/>
  <cp:lastPrinted>2026-10-26T23:38:10Z</cp:lastPrinted>
  <dcterms:created xsi:type="dcterms:W3CDTF">2009-02-16T20:36:14Z</dcterms:created>
  <dcterms:modified xsi:type="dcterms:W3CDTF">2026-10-26T23:38:12Z</dcterms:modified>
  <cp:category/>
  <cp:contentStatus/>
</cp:coreProperties>
</file>