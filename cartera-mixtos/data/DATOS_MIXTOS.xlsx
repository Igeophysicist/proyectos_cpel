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PEL-PROYECTOS\MIXTOS\REUNIONES_SEMANALES_RESPALDO\"/>
    </mc:Choice>
  </mc:AlternateContent>
  <xr:revisionPtr revIDLastSave="0" documentId="8_{AEAE517C-D6D6-4DB6-BDF9-B4514BC2FBF8}" xr6:coauthVersionLast="47" xr6:coauthVersionMax="47" xr10:uidLastSave="{00000000-0000-0000-0000-000000000000}"/>
  <bookViews>
    <workbookView xWindow="-120" yWindow="-120" windowWidth="29040" windowHeight="15720" tabRatio="724" activeTab="3" xr2:uid="{00000000-000D-0000-FFFF-FFFF00000000}"/>
  </bookViews>
  <sheets>
    <sheet name="Resumen Ejecutivo" sheetId="116" r:id="rId1"/>
    <sheet name="Proyectos ok" sheetId="119" r:id="rId2"/>
    <sheet name="Base de Datos" sheetId="118" r:id="rId3"/>
    <sheet name="CAPEX" sheetId="120" r:id="rId4"/>
  </sheets>
  <definedNames>
    <definedName name="_xlnm._FilterDatabase" localSheetId="2" hidden="1">'Base de Datos'!$B$8:$AB$52</definedName>
    <definedName name="_xlnm._FilterDatabase" localSheetId="3" hidden="1">CAPEX!$A$1:$BQ$1</definedName>
    <definedName name="_xlnm._FilterDatabase" localSheetId="0" hidden="1">'Resumen Ejecutivo'!$C$8:$M$8</definedName>
    <definedName name="_xlnm.Print_Area" localSheetId="2">'Base de Datos'!$A$1:$AH$53</definedName>
    <definedName name="_xlnm.Print_Area" localSheetId="1">'Proyectos ok'!$B$1:$W$61</definedName>
    <definedName name="_xlnm.Print_Area" localSheetId="0">'Resumen Ejecutivo'!$B$1:$P$51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0" l="1"/>
  <c r="AF4" i="120"/>
  <c r="AF5" i="120"/>
  <c r="AF6" i="120"/>
  <c r="AF7" i="120"/>
  <c r="AE16" i="118" s="1"/>
  <c r="AF8" i="120"/>
  <c r="AF9" i="120"/>
  <c r="AF10" i="120"/>
  <c r="AF11" i="120"/>
  <c r="AF12" i="120"/>
  <c r="AF13" i="120"/>
  <c r="AF14" i="120"/>
  <c r="AF15" i="120"/>
  <c r="AF16" i="120"/>
  <c r="AF17" i="120"/>
  <c r="AF18" i="120"/>
  <c r="AF19" i="120"/>
  <c r="AF20" i="120"/>
  <c r="AF21" i="120"/>
  <c r="AF22" i="120"/>
  <c r="AF23" i="120"/>
  <c r="AF24" i="120"/>
  <c r="AF25" i="120"/>
  <c r="AF26" i="120"/>
  <c r="AF27" i="120"/>
  <c r="AE36" i="118" s="1"/>
  <c r="AF28" i="120"/>
  <c r="AF29" i="120"/>
  <c r="AE38" i="118" s="1"/>
  <c r="AF30" i="120"/>
  <c r="AF31" i="120"/>
  <c r="AE19" i="118" s="1"/>
  <c r="AF32" i="120"/>
  <c r="AE18" i="118" s="1"/>
  <c r="AF33" i="120"/>
  <c r="AF34" i="120"/>
  <c r="AE23" i="118" s="1"/>
  <c r="AF35" i="120"/>
  <c r="AF36" i="120"/>
  <c r="AF37" i="120"/>
  <c r="AE17" i="118" s="1"/>
  <c r="AF38" i="120"/>
  <c r="AF39" i="120"/>
  <c r="AF40" i="120"/>
  <c r="AF41" i="120"/>
  <c r="AF2" i="120"/>
  <c r="AE3" i="120"/>
  <c r="AE4" i="120"/>
  <c r="AE5" i="120"/>
  <c r="AE6" i="120"/>
  <c r="AD15" i="118" s="1"/>
  <c r="AE7" i="120"/>
  <c r="AE8" i="120"/>
  <c r="AE9" i="120"/>
  <c r="AE10" i="120"/>
  <c r="AE11" i="120"/>
  <c r="AE12" i="120"/>
  <c r="AE13" i="120"/>
  <c r="AE14" i="120"/>
  <c r="AE15" i="120"/>
  <c r="AE16" i="120"/>
  <c r="AE17" i="120"/>
  <c r="AE18" i="120"/>
  <c r="AE19" i="120"/>
  <c r="AE20" i="120"/>
  <c r="AE21" i="120"/>
  <c r="AE22" i="120"/>
  <c r="AE23" i="120"/>
  <c r="AE24" i="120"/>
  <c r="AE25" i="120"/>
  <c r="AD34" i="118" s="1"/>
  <c r="AE26" i="120"/>
  <c r="AE27" i="120"/>
  <c r="AD13" i="118" s="1"/>
  <c r="AE28" i="120"/>
  <c r="AE29" i="120"/>
  <c r="AE30" i="120"/>
  <c r="AE31" i="120"/>
  <c r="AE32" i="120"/>
  <c r="AD41" i="118" s="1"/>
  <c r="AE33" i="120"/>
  <c r="AD42" i="118" s="1"/>
  <c r="AE34" i="120"/>
  <c r="AD43" i="118" s="1"/>
  <c r="AE35" i="120"/>
  <c r="AD44" i="118" s="1"/>
  <c r="AE36" i="120"/>
  <c r="AE37" i="120"/>
  <c r="AD46" i="118" s="1"/>
  <c r="AE38" i="120"/>
  <c r="AD47" i="118" s="1"/>
  <c r="AE39" i="120"/>
  <c r="AD48" i="118" s="1"/>
  <c r="AE40" i="120"/>
  <c r="AE41" i="120"/>
  <c r="AE2" i="120"/>
  <c r="AB50" i="118"/>
  <c r="AA50" i="118"/>
  <c r="Z50" i="118"/>
  <c r="Y50" i="118"/>
  <c r="X50" i="118"/>
  <c r="W50" i="118"/>
  <c r="V50" i="118"/>
  <c r="U50" i="118"/>
  <c r="T50" i="118"/>
  <c r="S50" i="118"/>
  <c r="R50" i="118"/>
  <c r="Q50" i="118"/>
  <c r="P50" i="118"/>
  <c r="O50" i="118"/>
  <c r="N50" i="118"/>
  <c r="M50" i="118"/>
  <c r="L50" i="118"/>
  <c r="K50" i="118"/>
  <c r="AB49" i="118"/>
  <c r="AA49" i="118"/>
  <c r="Z49" i="118"/>
  <c r="Y49" i="118"/>
  <c r="X49" i="118"/>
  <c r="W49" i="118"/>
  <c r="V49" i="118"/>
  <c r="U49" i="118"/>
  <c r="T49" i="118"/>
  <c r="S49" i="118"/>
  <c r="R49" i="118"/>
  <c r="Q49" i="118"/>
  <c r="P49" i="118"/>
  <c r="O49" i="118"/>
  <c r="N49" i="118"/>
  <c r="M49" i="118"/>
  <c r="L49" i="118"/>
  <c r="K49" i="118"/>
  <c r="AB48" i="118"/>
  <c r="AA48" i="118"/>
  <c r="Z48" i="118"/>
  <c r="Y48" i="118"/>
  <c r="X48" i="118"/>
  <c r="W48" i="118"/>
  <c r="V48" i="118"/>
  <c r="U48" i="118"/>
  <c r="T48" i="118"/>
  <c r="S48" i="118"/>
  <c r="R48" i="118"/>
  <c r="Q48" i="118"/>
  <c r="P48" i="118"/>
  <c r="O48" i="118"/>
  <c r="N48" i="118"/>
  <c r="M48" i="118"/>
  <c r="L48" i="118"/>
  <c r="K48" i="118"/>
  <c r="AB47" i="118"/>
  <c r="AA47" i="118"/>
  <c r="Z47" i="118"/>
  <c r="Y47" i="118"/>
  <c r="X47" i="118"/>
  <c r="W47" i="118"/>
  <c r="V47" i="118"/>
  <c r="U47" i="118"/>
  <c r="T47" i="118"/>
  <c r="S47" i="118"/>
  <c r="R47" i="118"/>
  <c r="Q47" i="118"/>
  <c r="P47" i="118"/>
  <c r="O47" i="118"/>
  <c r="N47" i="118"/>
  <c r="M47" i="118"/>
  <c r="L47" i="118"/>
  <c r="K47" i="118"/>
  <c r="AB46" i="118"/>
  <c r="AA46" i="118"/>
  <c r="Z46" i="118"/>
  <c r="Y46" i="118"/>
  <c r="X46" i="118"/>
  <c r="W46" i="118"/>
  <c r="V46" i="118"/>
  <c r="U46" i="118"/>
  <c r="T46" i="118"/>
  <c r="S46" i="118"/>
  <c r="R46" i="118"/>
  <c r="Q46" i="118"/>
  <c r="P46" i="118"/>
  <c r="O46" i="118"/>
  <c r="N46" i="118"/>
  <c r="M46" i="118"/>
  <c r="L46" i="118"/>
  <c r="K46" i="118"/>
  <c r="AB45" i="118"/>
  <c r="AA45" i="118"/>
  <c r="Z45" i="118"/>
  <c r="Y45" i="118"/>
  <c r="X45" i="118"/>
  <c r="W45" i="118"/>
  <c r="V45" i="118"/>
  <c r="U45" i="118"/>
  <c r="T45" i="118"/>
  <c r="S45" i="118"/>
  <c r="R45" i="118"/>
  <c r="Q45" i="118"/>
  <c r="P45" i="118"/>
  <c r="O45" i="118"/>
  <c r="N45" i="118"/>
  <c r="M45" i="118"/>
  <c r="L45" i="118"/>
  <c r="K45" i="118"/>
  <c r="AB44" i="118"/>
  <c r="AA44" i="118"/>
  <c r="Z44" i="118"/>
  <c r="Y44" i="118"/>
  <c r="X44" i="118"/>
  <c r="W44" i="118"/>
  <c r="V44" i="118"/>
  <c r="U44" i="118"/>
  <c r="T44" i="118"/>
  <c r="S44" i="118"/>
  <c r="R44" i="118"/>
  <c r="Q44" i="118"/>
  <c r="P44" i="118"/>
  <c r="O44" i="118"/>
  <c r="N44" i="118"/>
  <c r="M44" i="118"/>
  <c r="L44" i="118"/>
  <c r="K44" i="118"/>
  <c r="AB43" i="118"/>
  <c r="AA43" i="118"/>
  <c r="Z43" i="118"/>
  <c r="Y43" i="118"/>
  <c r="X43" i="118"/>
  <c r="W43" i="118"/>
  <c r="V43" i="118"/>
  <c r="U43" i="118"/>
  <c r="T43" i="118"/>
  <c r="S43" i="118"/>
  <c r="R43" i="118"/>
  <c r="Q43" i="118"/>
  <c r="P43" i="118"/>
  <c r="O43" i="118"/>
  <c r="N43" i="118"/>
  <c r="M43" i="118"/>
  <c r="L43" i="118"/>
  <c r="K43" i="118"/>
  <c r="AB42" i="118"/>
  <c r="AA42" i="118"/>
  <c r="Z42" i="118"/>
  <c r="Y42" i="118"/>
  <c r="X42" i="118"/>
  <c r="W42" i="118"/>
  <c r="V42" i="118"/>
  <c r="U42" i="118"/>
  <c r="T42" i="118"/>
  <c r="S42" i="118"/>
  <c r="R42" i="118"/>
  <c r="Q42" i="118"/>
  <c r="P42" i="118"/>
  <c r="O42" i="118"/>
  <c r="N42" i="118"/>
  <c r="M42" i="118"/>
  <c r="L42" i="118"/>
  <c r="K42" i="118"/>
  <c r="AB41" i="118"/>
  <c r="AA41" i="118"/>
  <c r="Z41" i="118"/>
  <c r="Y41" i="118"/>
  <c r="X41" i="118"/>
  <c r="W41" i="118"/>
  <c r="V41" i="118"/>
  <c r="U41" i="118"/>
  <c r="T41" i="118"/>
  <c r="S41" i="118"/>
  <c r="R41" i="118"/>
  <c r="Q41" i="118"/>
  <c r="P41" i="118"/>
  <c r="O41" i="118"/>
  <c r="N41" i="118"/>
  <c r="M41" i="118"/>
  <c r="L41" i="118"/>
  <c r="K41" i="118"/>
  <c r="AB40" i="118"/>
  <c r="AA40" i="118"/>
  <c r="Z40" i="118"/>
  <c r="Y40" i="118"/>
  <c r="X40" i="118"/>
  <c r="W40" i="118"/>
  <c r="V40" i="118"/>
  <c r="U40" i="118"/>
  <c r="T40" i="118"/>
  <c r="S40" i="118"/>
  <c r="R40" i="118"/>
  <c r="Q40" i="118"/>
  <c r="P40" i="118"/>
  <c r="O40" i="118"/>
  <c r="N40" i="118"/>
  <c r="M40" i="118"/>
  <c r="L40" i="118"/>
  <c r="K40" i="118"/>
  <c r="AB39" i="118"/>
  <c r="AA39" i="118"/>
  <c r="Z39" i="118"/>
  <c r="Y39" i="118"/>
  <c r="X39" i="118"/>
  <c r="W39" i="118"/>
  <c r="V39" i="118"/>
  <c r="U39" i="118"/>
  <c r="T39" i="118"/>
  <c r="S39" i="118"/>
  <c r="R39" i="118"/>
  <c r="Q39" i="118"/>
  <c r="P39" i="118"/>
  <c r="O39" i="118"/>
  <c r="N39" i="118"/>
  <c r="M39" i="118"/>
  <c r="L39" i="118"/>
  <c r="K39" i="118"/>
  <c r="AB38" i="118"/>
  <c r="AA38" i="118"/>
  <c r="Z38" i="118"/>
  <c r="Y38" i="118"/>
  <c r="X38" i="118"/>
  <c r="W38" i="118"/>
  <c r="V38" i="118"/>
  <c r="U38" i="118"/>
  <c r="T38" i="118"/>
  <c r="S38" i="118"/>
  <c r="R38" i="118"/>
  <c r="Q38" i="118"/>
  <c r="P38" i="118"/>
  <c r="O38" i="118"/>
  <c r="N38" i="118"/>
  <c r="M38" i="118"/>
  <c r="L38" i="118"/>
  <c r="K38" i="118"/>
  <c r="AB37" i="118"/>
  <c r="AA37" i="118"/>
  <c r="Z37" i="118"/>
  <c r="Y37" i="118"/>
  <c r="X37" i="118"/>
  <c r="W37" i="118"/>
  <c r="V37" i="118"/>
  <c r="U37" i="118"/>
  <c r="T37" i="118"/>
  <c r="S37" i="118"/>
  <c r="R37" i="118"/>
  <c r="Q37" i="118"/>
  <c r="P37" i="118"/>
  <c r="O37" i="118"/>
  <c r="N37" i="118"/>
  <c r="M37" i="118"/>
  <c r="L37" i="118"/>
  <c r="K37" i="118"/>
  <c r="AB36" i="118"/>
  <c r="AA36" i="118"/>
  <c r="Z36" i="118"/>
  <c r="Y36" i="118"/>
  <c r="X36" i="118"/>
  <c r="W36" i="118"/>
  <c r="V36" i="118"/>
  <c r="U36" i="118"/>
  <c r="T36" i="118"/>
  <c r="S36" i="118"/>
  <c r="R36" i="118"/>
  <c r="Q36" i="118"/>
  <c r="P36" i="118"/>
  <c r="O36" i="118"/>
  <c r="N36" i="118"/>
  <c r="M36" i="118"/>
  <c r="L36" i="118"/>
  <c r="K36" i="118"/>
  <c r="AB35" i="118"/>
  <c r="AA35" i="118"/>
  <c r="Z35" i="118"/>
  <c r="Y35" i="118"/>
  <c r="X35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AB34" i="118"/>
  <c r="AA34" i="118"/>
  <c r="Z34" i="118"/>
  <c r="Y34" i="118"/>
  <c r="X34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AB33" i="118"/>
  <c r="AA33" i="118"/>
  <c r="Z33" i="118"/>
  <c r="Y33" i="118"/>
  <c r="X33" i="118"/>
  <c r="W33" i="118"/>
  <c r="V33" i="118"/>
  <c r="U33" i="118"/>
  <c r="T33" i="118"/>
  <c r="S33" i="118"/>
  <c r="R33" i="118"/>
  <c r="Q33" i="118"/>
  <c r="P33" i="118"/>
  <c r="O33" i="118"/>
  <c r="N33" i="118"/>
  <c r="M33" i="118"/>
  <c r="L33" i="118"/>
  <c r="K33" i="118"/>
  <c r="AB32" i="118"/>
  <c r="AA32" i="118"/>
  <c r="Z32" i="118"/>
  <c r="Y32" i="118"/>
  <c r="X32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AB31" i="118"/>
  <c r="AA31" i="118"/>
  <c r="Z31" i="118"/>
  <c r="Y31" i="118"/>
  <c r="X31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AB30" i="118"/>
  <c r="AA30" i="118"/>
  <c r="Z30" i="118"/>
  <c r="Y30" i="118"/>
  <c r="X30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AB29" i="118"/>
  <c r="AA29" i="118"/>
  <c r="Z29" i="118"/>
  <c r="Y29" i="118"/>
  <c r="X29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AB28" i="118"/>
  <c r="AA28" i="118"/>
  <c r="Z28" i="118"/>
  <c r="Y28" i="118"/>
  <c r="X28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AB27" i="118"/>
  <c r="AA27" i="118"/>
  <c r="Z27" i="118"/>
  <c r="Y27" i="118"/>
  <c r="X27" i="118"/>
  <c r="W27" i="118"/>
  <c r="V27" i="118"/>
  <c r="U27" i="118"/>
  <c r="T27" i="118"/>
  <c r="S27" i="118"/>
  <c r="R27" i="118"/>
  <c r="Q27" i="118"/>
  <c r="P27" i="118"/>
  <c r="O27" i="118"/>
  <c r="N27" i="118"/>
  <c r="M27" i="118"/>
  <c r="L27" i="118"/>
  <c r="K27" i="118"/>
  <c r="AB26" i="118"/>
  <c r="AA26" i="118"/>
  <c r="Z26" i="118"/>
  <c r="Y26" i="118"/>
  <c r="X26" i="118"/>
  <c r="W26" i="118"/>
  <c r="V26" i="118"/>
  <c r="U26" i="118"/>
  <c r="T26" i="118"/>
  <c r="S26" i="118"/>
  <c r="R26" i="118"/>
  <c r="Q26" i="118"/>
  <c r="P26" i="118"/>
  <c r="O26" i="118"/>
  <c r="N26" i="118"/>
  <c r="M26" i="118"/>
  <c r="L26" i="118"/>
  <c r="K26" i="118"/>
  <c r="AB25" i="118"/>
  <c r="AA25" i="118"/>
  <c r="Z25" i="118"/>
  <c r="Y25" i="118"/>
  <c r="X25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AB24" i="118"/>
  <c r="AA24" i="118"/>
  <c r="Z24" i="118"/>
  <c r="Y24" i="118"/>
  <c r="X24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AB23" i="118"/>
  <c r="AA23" i="118"/>
  <c r="Z23" i="118"/>
  <c r="Y23" i="118"/>
  <c r="X23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AB22" i="118"/>
  <c r="AA22" i="118"/>
  <c r="Z22" i="118"/>
  <c r="Y22" i="118"/>
  <c r="X22" i="118"/>
  <c r="W22" i="118"/>
  <c r="V22" i="118"/>
  <c r="U22" i="118"/>
  <c r="T22" i="118"/>
  <c r="S22" i="118"/>
  <c r="R22" i="118"/>
  <c r="Q22" i="118"/>
  <c r="P22" i="118"/>
  <c r="O22" i="118"/>
  <c r="N22" i="118"/>
  <c r="M22" i="118"/>
  <c r="L22" i="118"/>
  <c r="K22" i="118"/>
  <c r="AB21" i="118"/>
  <c r="AA21" i="118"/>
  <c r="Z21" i="118"/>
  <c r="Y21" i="118"/>
  <c r="X21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AB20" i="118"/>
  <c r="AA20" i="118"/>
  <c r="Z20" i="118"/>
  <c r="Y20" i="118"/>
  <c r="X20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AB19" i="118"/>
  <c r="AA19" i="118"/>
  <c r="Z19" i="118"/>
  <c r="Y19" i="118"/>
  <c r="X19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AB18" i="118"/>
  <c r="AA18" i="118"/>
  <c r="Z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AB17" i="118"/>
  <c r="AA17" i="118"/>
  <c r="Z17" i="118"/>
  <c r="Y17" i="118"/>
  <c r="X17" i="118"/>
  <c r="W17" i="118"/>
  <c r="V17" i="118"/>
  <c r="U17" i="118"/>
  <c r="T17" i="118"/>
  <c r="S17" i="118"/>
  <c r="R17" i="118"/>
  <c r="Q17" i="118"/>
  <c r="P17" i="118"/>
  <c r="O17" i="118"/>
  <c r="N17" i="118"/>
  <c r="M17" i="118"/>
  <c r="L17" i="118"/>
  <c r="K17" i="118"/>
  <c r="AB16" i="118"/>
  <c r="AA16" i="118"/>
  <c r="Z16" i="118"/>
  <c r="Y16" i="118"/>
  <c r="X16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AB15" i="118"/>
  <c r="AA15" i="118"/>
  <c r="Z15" i="118"/>
  <c r="Y15" i="118"/>
  <c r="X15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AB14" i="118"/>
  <c r="AA14" i="118"/>
  <c r="Z14" i="118"/>
  <c r="Y14" i="118"/>
  <c r="X14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AB13" i="118"/>
  <c r="AA13" i="118"/>
  <c r="Z13" i="118"/>
  <c r="Y13" i="118"/>
  <c r="X13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AB12" i="118"/>
  <c r="AA12" i="118"/>
  <c r="Z12" i="118"/>
  <c r="Y12" i="118"/>
  <c r="X12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L11" i="118"/>
  <c r="M11" i="118"/>
  <c r="N11" i="118"/>
  <c r="O11" i="118"/>
  <c r="P11" i="118"/>
  <c r="Q11" i="118"/>
  <c r="R11" i="118"/>
  <c r="S11" i="118"/>
  <c r="T11" i="118"/>
  <c r="U11" i="118"/>
  <c r="V11" i="118"/>
  <c r="W11" i="118"/>
  <c r="X11" i="118"/>
  <c r="Y11" i="118"/>
  <c r="Z11" i="118"/>
  <c r="AA11" i="118"/>
  <c r="AB11" i="118"/>
  <c r="K11" i="118"/>
  <c r="J46" i="118"/>
  <c r="J47" i="118"/>
  <c r="J48" i="118"/>
  <c r="J49" i="118"/>
  <c r="J50" i="118"/>
  <c r="J44" i="118"/>
  <c r="J48" i="116" s="1"/>
  <c r="J45" i="118"/>
  <c r="J19" i="116" s="1"/>
  <c r="J12" i="118"/>
  <c r="J13" i="118"/>
  <c r="J14" i="118"/>
  <c r="J15" i="118"/>
  <c r="J16" i="118"/>
  <c r="J17" i="118"/>
  <c r="J18" i="118"/>
  <c r="J19" i="118"/>
  <c r="J20" i="118"/>
  <c r="J21" i="118"/>
  <c r="J22" i="118"/>
  <c r="J23" i="118"/>
  <c r="J24" i="118"/>
  <c r="J25" i="118"/>
  <c r="J26" i="118"/>
  <c r="J27" i="118"/>
  <c r="J28" i="118"/>
  <c r="J29" i="118"/>
  <c r="J30" i="118"/>
  <c r="J31" i="118"/>
  <c r="J32" i="118"/>
  <c r="J33" i="118"/>
  <c r="J34" i="118"/>
  <c r="J35" i="118"/>
  <c r="J36" i="118"/>
  <c r="J37" i="118"/>
  <c r="J38" i="118"/>
  <c r="J39" i="118"/>
  <c r="J40" i="118"/>
  <c r="J41" i="118"/>
  <c r="J42" i="118"/>
  <c r="J43" i="118"/>
  <c r="J11" i="118"/>
  <c r="I46" i="118"/>
  <c r="I47" i="118"/>
  <c r="I48" i="118"/>
  <c r="I49" i="118"/>
  <c r="I50" i="118"/>
  <c r="I44" i="118"/>
  <c r="I48" i="116" s="1"/>
  <c r="I45" i="118"/>
  <c r="I19" i="116" s="1"/>
  <c r="I12" i="118"/>
  <c r="I13" i="118"/>
  <c r="I14" i="118"/>
  <c r="I15" i="118"/>
  <c r="I16" i="118"/>
  <c r="I17" i="118"/>
  <c r="I18" i="118"/>
  <c r="I19" i="118"/>
  <c r="I20" i="118"/>
  <c r="I21" i="118"/>
  <c r="I22" i="118"/>
  <c r="I23" i="118"/>
  <c r="I24" i="118"/>
  <c r="I25" i="118"/>
  <c r="I26" i="118"/>
  <c r="I27" i="118"/>
  <c r="I28" i="118"/>
  <c r="I29" i="118"/>
  <c r="I30" i="118"/>
  <c r="I31" i="118"/>
  <c r="I32" i="118"/>
  <c r="I33" i="118"/>
  <c r="I34" i="118"/>
  <c r="I35" i="118"/>
  <c r="I36" i="118"/>
  <c r="I37" i="118"/>
  <c r="I38" i="118"/>
  <c r="I39" i="118"/>
  <c r="I40" i="118"/>
  <c r="I41" i="118"/>
  <c r="I42" i="118"/>
  <c r="I43" i="118"/>
  <c r="I11" i="118"/>
  <c r="H12" i="118"/>
  <c r="H13" i="118"/>
  <c r="H14" i="118"/>
  <c r="H15" i="118"/>
  <c r="H16" i="118"/>
  <c r="H17" i="118"/>
  <c r="H18" i="118"/>
  <c r="H19" i="118"/>
  <c r="H20" i="118"/>
  <c r="H21" i="118"/>
  <c r="H22" i="118"/>
  <c r="H23" i="118"/>
  <c r="H24" i="118"/>
  <c r="H25" i="118"/>
  <c r="H26" i="118"/>
  <c r="H27" i="118"/>
  <c r="H28" i="118"/>
  <c r="H29" i="118"/>
  <c r="H30" i="118"/>
  <c r="H31" i="118"/>
  <c r="H32" i="118"/>
  <c r="H33" i="118"/>
  <c r="H34" i="118"/>
  <c r="H35" i="118"/>
  <c r="H36" i="118"/>
  <c r="H37" i="118"/>
  <c r="H38" i="118"/>
  <c r="H39" i="118"/>
  <c r="H40" i="118"/>
  <c r="H41" i="118"/>
  <c r="H42" i="118"/>
  <c r="H43" i="118"/>
  <c r="H44" i="118"/>
  <c r="H45" i="118"/>
  <c r="H46" i="118"/>
  <c r="H47" i="118"/>
  <c r="H48" i="118"/>
  <c r="H49" i="118"/>
  <c r="H50" i="118"/>
  <c r="H11" i="118"/>
  <c r="G12" i="118"/>
  <c r="G13" i="118"/>
  <c r="G14" i="118"/>
  <c r="G15" i="118"/>
  <c r="G16" i="118"/>
  <c r="G17" i="118"/>
  <c r="G18" i="118"/>
  <c r="G19" i="118"/>
  <c r="G20" i="118"/>
  <c r="G21" i="118"/>
  <c r="G22" i="118"/>
  <c r="G23" i="118"/>
  <c r="G24" i="118"/>
  <c r="G25" i="118"/>
  <c r="G26" i="118"/>
  <c r="G27" i="118"/>
  <c r="G28" i="118"/>
  <c r="G29" i="118"/>
  <c r="G30" i="118"/>
  <c r="G31" i="118"/>
  <c r="G32" i="118"/>
  <c r="G33" i="118"/>
  <c r="G34" i="118"/>
  <c r="G35" i="118"/>
  <c r="G36" i="118"/>
  <c r="G37" i="118"/>
  <c r="G38" i="118"/>
  <c r="G39" i="118"/>
  <c r="G40" i="118"/>
  <c r="G41" i="118"/>
  <c r="G42" i="118"/>
  <c r="G43" i="118"/>
  <c r="G44" i="118"/>
  <c r="G45" i="118"/>
  <c r="G46" i="118"/>
  <c r="G47" i="118"/>
  <c r="G48" i="118"/>
  <c r="G49" i="118"/>
  <c r="G50" i="118"/>
  <c r="G11" i="118"/>
  <c r="F50" i="118"/>
  <c r="F49" i="118"/>
  <c r="F48" i="118"/>
  <c r="F47" i="118"/>
  <c r="F46" i="118"/>
  <c r="F45" i="118"/>
  <c r="F44" i="118"/>
  <c r="F43" i="118"/>
  <c r="F42" i="118"/>
  <c r="F41" i="118"/>
  <c r="F40" i="118"/>
  <c r="F39" i="118"/>
  <c r="F38" i="118"/>
  <c r="F37" i="118"/>
  <c r="F36" i="118"/>
  <c r="F35" i="118"/>
  <c r="F34" i="118"/>
  <c r="F33" i="118"/>
  <c r="F32" i="118"/>
  <c r="F31" i="118"/>
  <c r="F30" i="118"/>
  <c r="F29" i="118"/>
  <c r="F28" i="118"/>
  <c r="F27" i="118"/>
  <c r="F26" i="118"/>
  <c r="F25" i="118"/>
  <c r="F24" i="118"/>
  <c r="F23" i="118"/>
  <c r="F22" i="118"/>
  <c r="F21" i="118"/>
  <c r="F20" i="118"/>
  <c r="F19" i="118"/>
  <c r="F18" i="118"/>
  <c r="F17" i="118"/>
  <c r="F16" i="118"/>
  <c r="F15" i="118"/>
  <c r="F14" i="118"/>
  <c r="F13" i="118"/>
  <c r="F12" i="118"/>
  <c r="F11" i="118"/>
  <c r="E50" i="118"/>
  <c r="E49" i="118"/>
  <c r="E48" i="118"/>
  <c r="E47" i="118"/>
  <c r="E46" i="118"/>
  <c r="E45" i="118"/>
  <c r="E44" i="118"/>
  <c r="E43" i="118"/>
  <c r="E42" i="118"/>
  <c r="E41" i="118"/>
  <c r="E40" i="118"/>
  <c r="E39" i="118"/>
  <c r="E38" i="118"/>
  <c r="E37" i="118"/>
  <c r="E36" i="118"/>
  <c r="E35" i="118"/>
  <c r="E34" i="118"/>
  <c r="E33" i="118"/>
  <c r="E32" i="118"/>
  <c r="E31" i="118"/>
  <c r="E30" i="118"/>
  <c r="E29" i="118"/>
  <c r="E28" i="118"/>
  <c r="E27" i="118"/>
  <c r="E26" i="118"/>
  <c r="E25" i="118"/>
  <c r="E24" i="118"/>
  <c r="E23" i="118"/>
  <c r="E22" i="118"/>
  <c r="E21" i="118"/>
  <c r="E20" i="118"/>
  <c r="E19" i="118"/>
  <c r="E18" i="118"/>
  <c r="E17" i="118"/>
  <c r="E16" i="118"/>
  <c r="E15" i="118"/>
  <c r="E14" i="118"/>
  <c r="E13" i="118"/>
  <c r="E12" i="118"/>
  <c r="E11" i="118"/>
  <c r="D12" i="118"/>
  <c r="D13" i="118"/>
  <c r="D14" i="118"/>
  <c r="D15" i="118"/>
  <c r="D16" i="118"/>
  <c r="D17" i="118"/>
  <c r="D18" i="118"/>
  <c r="D19" i="118"/>
  <c r="D20" i="118"/>
  <c r="D21" i="118"/>
  <c r="D22" i="118"/>
  <c r="D23" i="118"/>
  <c r="D24" i="118"/>
  <c r="D25" i="118"/>
  <c r="D26" i="118"/>
  <c r="D27" i="118"/>
  <c r="D28" i="118"/>
  <c r="D29" i="118"/>
  <c r="D30" i="118"/>
  <c r="D31" i="118"/>
  <c r="D32" i="118"/>
  <c r="D33" i="118"/>
  <c r="D34" i="118"/>
  <c r="D35" i="118"/>
  <c r="D36" i="118"/>
  <c r="D37" i="118"/>
  <c r="D38" i="118"/>
  <c r="D39" i="118"/>
  <c r="D40" i="118"/>
  <c r="D41" i="118"/>
  <c r="D42" i="118"/>
  <c r="D43" i="118"/>
  <c r="D44" i="118"/>
  <c r="D45" i="118"/>
  <c r="D46" i="118"/>
  <c r="D47" i="118"/>
  <c r="D48" i="118"/>
  <c r="D49" i="118"/>
  <c r="D50" i="118"/>
  <c r="D11" i="118"/>
  <c r="C12" i="118"/>
  <c r="C13" i="118"/>
  <c r="C14" i="118"/>
  <c r="C15" i="118"/>
  <c r="C16" i="118"/>
  <c r="C17" i="118"/>
  <c r="C18" i="118"/>
  <c r="C19" i="118"/>
  <c r="C20" i="118"/>
  <c r="C21" i="118"/>
  <c r="C22" i="118"/>
  <c r="C23" i="118"/>
  <c r="C24" i="118"/>
  <c r="C25" i="118"/>
  <c r="C26" i="118"/>
  <c r="C27" i="118"/>
  <c r="C28" i="118"/>
  <c r="C29" i="118"/>
  <c r="C30" i="118"/>
  <c r="C31" i="118"/>
  <c r="C32" i="118"/>
  <c r="C33" i="118"/>
  <c r="C34" i="118"/>
  <c r="C35" i="118"/>
  <c r="C36" i="118"/>
  <c r="C37" i="118"/>
  <c r="C38" i="118"/>
  <c r="C39" i="118"/>
  <c r="C40" i="118"/>
  <c r="C41" i="118"/>
  <c r="C42" i="118"/>
  <c r="C43" i="118"/>
  <c r="C44" i="118"/>
  <c r="C45" i="118"/>
  <c r="C46" i="118"/>
  <c r="C47" i="118"/>
  <c r="C48" i="118"/>
  <c r="C49" i="118"/>
  <c r="C50" i="118"/>
  <c r="C11" i="118"/>
  <c r="T25" i="120"/>
  <c r="U25" i="120" s="1"/>
  <c r="V25" i="120"/>
  <c r="W25" i="120" s="1"/>
  <c r="X25" i="120" s="1"/>
  <c r="Y25" i="120"/>
  <c r="Z25" i="120"/>
  <c r="P49" i="120"/>
  <c r="P48" i="120"/>
  <c r="P47" i="120"/>
  <c r="P44" i="120"/>
  <c r="P43" i="120"/>
  <c r="Z10" i="120"/>
  <c r="Y10" i="120"/>
  <c r="V10" i="120"/>
  <c r="W10" i="120" s="1"/>
  <c r="X10" i="120" s="1"/>
  <c r="T10" i="120"/>
  <c r="U10" i="120" s="1"/>
  <c r="V9" i="120"/>
  <c r="W9" i="120" s="1"/>
  <c r="X9" i="120" s="1"/>
  <c r="Z9" i="120"/>
  <c r="T9" i="120"/>
  <c r="U9" i="120" s="1"/>
  <c r="Y9" i="120"/>
  <c r="P45" i="120"/>
  <c r="Z36" i="120"/>
  <c r="Y36" i="120"/>
  <c r="V36" i="120"/>
  <c r="W36" i="120" s="1"/>
  <c r="X36" i="120" s="1"/>
  <c r="T36" i="120"/>
  <c r="U36" i="120" s="1"/>
  <c r="Z35" i="120"/>
  <c r="Y35" i="120"/>
  <c r="V35" i="120"/>
  <c r="W35" i="120" s="1"/>
  <c r="X35" i="120" s="1"/>
  <c r="T35" i="120"/>
  <c r="U35" i="120" s="1"/>
  <c r="Z12" i="120"/>
  <c r="Y12" i="120"/>
  <c r="V12" i="120"/>
  <c r="W12" i="120" s="1"/>
  <c r="X12" i="120" s="1"/>
  <c r="T12" i="120"/>
  <c r="U12" i="120" s="1"/>
  <c r="Z13" i="120"/>
  <c r="Y13" i="120"/>
  <c r="V13" i="120"/>
  <c r="W13" i="120" s="1"/>
  <c r="X13" i="120" s="1"/>
  <c r="T13" i="120"/>
  <c r="U13" i="120" s="1"/>
  <c r="Z11" i="120"/>
  <c r="Y11" i="120"/>
  <c r="V11" i="120"/>
  <c r="W11" i="120" s="1"/>
  <c r="X11" i="120" s="1"/>
  <c r="T11" i="120"/>
  <c r="U11" i="120" s="1"/>
  <c r="Z29" i="120"/>
  <c r="Y29" i="120"/>
  <c r="V29" i="120"/>
  <c r="W29" i="120" s="1"/>
  <c r="X29" i="120" s="1"/>
  <c r="T29" i="120"/>
  <c r="U29" i="120" s="1"/>
  <c r="Z5" i="120"/>
  <c r="Y5" i="120"/>
  <c r="V5" i="120"/>
  <c r="W5" i="120" s="1"/>
  <c r="X5" i="120" s="1"/>
  <c r="T5" i="120"/>
  <c r="U5" i="120" s="1"/>
  <c r="Z8" i="120"/>
  <c r="Y8" i="120"/>
  <c r="V8" i="120"/>
  <c r="W8" i="120" s="1"/>
  <c r="X8" i="120" s="1"/>
  <c r="T8" i="120"/>
  <c r="U8" i="120" s="1"/>
  <c r="Z33" i="120"/>
  <c r="Y33" i="120"/>
  <c r="V33" i="120"/>
  <c r="W33" i="120" s="1"/>
  <c r="X33" i="120" s="1"/>
  <c r="T33" i="120"/>
  <c r="U33" i="120" s="1"/>
  <c r="Z2" i="120"/>
  <c r="Y2" i="120"/>
  <c r="V2" i="120"/>
  <c r="W2" i="120" s="1"/>
  <c r="X2" i="120" s="1"/>
  <c r="T2" i="120"/>
  <c r="U2" i="120" s="1"/>
  <c r="Z41" i="120"/>
  <c r="Y41" i="120"/>
  <c r="V41" i="120"/>
  <c r="W41" i="120" s="1"/>
  <c r="X41" i="120" s="1"/>
  <c r="T41" i="120"/>
  <c r="U41" i="120" s="1"/>
  <c r="Z39" i="120"/>
  <c r="Y39" i="120"/>
  <c r="V39" i="120"/>
  <c r="W39" i="120" s="1"/>
  <c r="X39" i="120" s="1"/>
  <c r="T39" i="120"/>
  <c r="U39" i="120" s="1"/>
  <c r="Z38" i="120"/>
  <c r="Y38" i="120"/>
  <c r="V38" i="120"/>
  <c r="W38" i="120" s="1"/>
  <c r="X38" i="120" s="1"/>
  <c r="T38" i="120"/>
  <c r="U38" i="120" s="1"/>
  <c r="Z7" i="120"/>
  <c r="Y7" i="120"/>
  <c r="V7" i="120"/>
  <c r="W7" i="120" s="1"/>
  <c r="X7" i="120" s="1"/>
  <c r="T7" i="120"/>
  <c r="U7" i="120" s="1"/>
  <c r="Z6" i="120"/>
  <c r="Y6" i="120"/>
  <c r="V6" i="120"/>
  <c r="W6" i="120" s="1"/>
  <c r="X6" i="120" s="1"/>
  <c r="T6" i="120"/>
  <c r="U6" i="120" s="1"/>
  <c r="Z4" i="120"/>
  <c r="Y4" i="120"/>
  <c r="V4" i="120"/>
  <c r="W4" i="120" s="1"/>
  <c r="X4" i="120" s="1"/>
  <c r="T4" i="120"/>
  <c r="U4" i="120" s="1"/>
  <c r="Z14" i="120"/>
  <c r="Y14" i="120"/>
  <c r="V14" i="120"/>
  <c r="W14" i="120" s="1"/>
  <c r="X14" i="120" s="1"/>
  <c r="T14" i="120"/>
  <c r="U14" i="120" s="1"/>
  <c r="Z18" i="120"/>
  <c r="Y18" i="120"/>
  <c r="V18" i="120"/>
  <c r="W18" i="120" s="1"/>
  <c r="X18" i="120" s="1"/>
  <c r="T18" i="120"/>
  <c r="U18" i="120" s="1"/>
  <c r="Z17" i="120"/>
  <c r="Y17" i="120"/>
  <c r="V17" i="120"/>
  <c r="W17" i="120" s="1"/>
  <c r="X17" i="120" s="1"/>
  <c r="T17" i="120"/>
  <c r="U17" i="120" s="1"/>
  <c r="Z15" i="120"/>
  <c r="Y15" i="120"/>
  <c r="V15" i="120"/>
  <c r="W15" i="120" s="1"/>
  <c r="X15" i="120" s="1"/>
  <c r="T15" i="120"/>
  <c r="U15" i="120" s="1"/>
  <c r="Z16" i="120"/>
  <c r="Y16" i="120"/>
  <c r="V16" i="120"/>
  <c r="W16" i="120" s="1"/>
  <c r="X16" i="120" s="1"/>
  <c r="T16" i="120"/>
  <c r="U16" i="120" s="1"/>
  <c r="Z19" i="120"/>
  <c r="Y19" i="120"/>
  <c r="V19" i="120"/>
  <c r="W19" i="120" s="1"/>
  <c r="X19" i="120" s="1"/>
  <c r="T19" i="120"/>
  <c r="U19" i="120" s="1"/>
  <c r="Z21" i="120"/>
  <c r="Y21" i="120"/>
  <c r="V21" i="120"/>
  <c r="W21" i="120" s="1"/>
  <c r="X21" i="120" s="1"/>
  <c r="T21" i="120"/>
  <c r="U21" i="120" s="1"/>
  <c r="Z20" i="120"/>
  <c r="Y20" i="120"/>
  <c r="V20" i="120"/>
  <c r="W20" i="120" s="1"/>
  <c r="X20" i="120" s="1"/>
  <c r="T20" i="120"/>
  <c r="U20" i="120" s="1"/>
  <c r="Z22" i="120"/>
  <c r="Y22" i="120"/>
  <c r="V22" i="120"/>
  <c r="W22" i="120" s="1"/>
  <c r="X22" i="120" s="1"/>
  <c r="T22" i="120"/>
  <c r="U22" i="120" s="1"/>
  <c r="Z34" i="120"/>
  <c r="Y34" i="120"/>
  <c r="V34" i="120"/>
  <c r="W34" i="120" s="1"/>
  <c r="X34" i="120" s="1"/>
  <c r="T34" i="120"/>
  <c r="U34" i="120" s="1"/>
  <c r="Z24" i="120"/>
  <c r="Y24" i="120"/>
  <c r="V24" i="120"/>
  <c r="W24" i="120" s="1"/>
  <c r="X24" i="120" s="1"/>
  <c r="T24" i="120"/>
  <c r="U24" i="120" s="1"/>
  <c r="Z23" i="120"/>
  <c r="Y23" i="120"/>
  <c r="V23" i="120"/>
  <c r="W23" i="120" s="1"/>
  <c r="X23" i="120" s="1"/>
  <c r="T23" i="120"/>
  <c r="U23" i="120" s="1"/>
  <c r="Z30" i="120"/>
  <c r="Y30" i="120"/>
  <c r="V30" i="120"/>
  <c r="W30" i="120" s="1"/>
  <c r="X30" i="120" s="1"/>
  <c r="T30" i="120"/>
  <c r="U30" i="120" s="1"/>
  <c r="Z31" i="120"/>
  <c r="Y31" i="120"/>
  <c r="V31" i="120"/>
  <c r="W31" i="120" s="1"/>
  <c r="X31" i="120" s="1"/>
  <c r="T31" i="120"/>
  <c r="U31" i="120" s="1"/>
  <c r="Z32" i="120"/>
  <c r="Y32" i="120"/>
  <c r="V32" i="120"/>
  <c r="W32" i="120" s="1"/>
  <c r="X32" i="120" s="1"/>
  <c r="T32" i="120"/>
  <c r="U32" i="120" s="1"/>
  <c r="Z37" i="120"/>
  <c r="Y37" i="120"/>
  <c r="V37" i="120"/>
  <c r="W37" i="120" s="1"/>
  <c r="X37" i="120" s="1"/>
  <c r="T37" i="120"/>
  <c r="U37" i="120" s="1"/>
  <c r="Z40" i="120"/>
  <c r="Y40" i="120"/>
  <c r="V40" i="120"/>
  <c r="W40" i="120" s="1"/>
  <c r="X40" i="120" s="1"/>
  <c r="T40" i="120"/>
  <c r="U40" i="120" s="1"/>
  <c r="Z3" i="120"/>
  <c r="Y3" i="120"/>
  <c r="V3" i="120"/>
  <c r="W3" i="120" s="1"/>
  <c r="X3" i="120" s="1"/>
  <c r="T3" i="120"/>
  <c r="U3" i="120" s="1"/>
  <c r="Z28" i="120"/>
  <c r="Y28" i="120"/>
  <c r="V28" i="120"/>
  <c r="W28" i="120" s="1"/>
  <c r="X28" i="120" s="1"/>
  <c r="T28" i="120"/>
  <c r="U28" i="120" s="1"/>
  <c r="Z27" i="120"/>
  <c r="Y27" i="120"/>
  <c r="V27" i="120"/>
  <c r="W27" i="120" s="1"/>
  <c r="X27" i="120" s="1"/>
  <c r="T27" i="120"/>
  <c r="U27" i="120" s="1"/>
  <c r="Z26" i="120"/>
  <c r="Y26" i="120"/>
  <c r="V26" i="120"/>
  <c r="W26" i="120" s="1"/>
  <c r="X26" i="120" s="1"/>
  <c r="T26" i="120"/>
  <c r="U26" i="120" s="1"/>
  <c r="AE40" i="118" l="1"/>
  <c r="AE45" i="118"/>
  <c r="AE49" i="118"/>
  <c r="AE50" i="118"/>
  <c r="AD11" i="118"/>
  <c r="AE14" i="118"/>
  <c r="AE37" i="118"/>
  <c r="AE20" i="118"/>
  <c r="AE39" i="118"/>
  <c r="AD27" i="118"/>
  <c r="AD28" i="118"/>
  <c r="AD25" i="118"/>
  <c r="AD29" i="118"/>
  <c r="AD26" i="118"/>
  <c r="AD30" i="118"/>
  <c r="AD24" i="118"/>
  <c r="AD31" i="118"/>
  <c r="AD21" i="118"/>
  <c r="AD32" i="118"/>
  <c r="AD22" i="118"/>
  <c r="AD33" i="118"/>
  <c r="AD12" i="118"/>
  <c r="AD35" i="118"/>
  <c r="AE15" i="118"/>
  <c r="AG3" i="120"/>
  <c r="AG4" i="120"/>
  <c r="AE33" i="118"/>
  <c r="AE44" i="118"/>
  <c r="AG5" i="120"/>
  <c r="AG6" i="120"/>
  <c r="AE34" i="118"/>
  <c r="AG7" i="120"/>
  <c r="AE35" i="118"/>
  <c r="AE41" i="118"/>
  <c r="AG8" i="120"/>
  <c r="AE42" i="118"/>
  <c r="AG9" i="120"/>
  <c r="AE43" i="118"/>
  <c r="AG10" i="120"/>
  <c r="AG11" i="120"/>
  <c r="AE46" i="118"/>
  <c r="AG12" i="120"/>
  <c r="AE48" i="118"/>
  <c r="AE47" i="118"/>
  <c r="AG13" i="120"/>
  <c r="AG14" i="120"/>
  <c r="AE32" i="118"/>
  <c r="AG15" i="120"/>
  <c r="AE29" i="118"/>
  <c r="AG16" i="120"/>
  <c r="AE28" i="118"/>
  <c r="AG17" i="120"/>
  <c r="AE30" i="118"/>
  <c r="AG18" i="120"/>
  <c r="AE31" i="118"/>
  <c r="AE27" i="118"/>
  <c r="AG19" i="120"/>
  <c r="AE25" i="118"/>
  <c r="AG20" i="120"/>
  <c r="AE26" i="118"/>
  <c r="AG21" i="120"/>
  <c r="AE24" i="118"/>
  <c r="AG22" i="120"/>
  <c r="AE21" i="118"/>
  <c r="AG23" i="120"/>
  <c r="AE22" i="118"/>
  <c r="AG24" i="120"/>
  <c r="AE11" i="118"/>
  <c r="AG25" i="120"/>
  <c r="AE12" i="118"/>
  <c r="AG26" i="120"/>
  <c r="AE13" i="118"/>
  <c r="AG27" i="120"/>
  <c r="AD14" i="118"/>
  <c r="AG28" i="120"/>
  <c r="AD45" i="118"/>
  <c r="AG29" i="120"/>
  <c r="AD20" i="118"/>
  <c r="AG30" i="120"/>
  <c r="AG31" i="120"/>
  <c r="AD19" i="118"/>
  <c r="AD18" i="118"/>
  <c r="AG32" i="120"/>
  <c r="AD40" i="118"/>
  <c r="AG33" i="120"/>
  <c r="AG34" i="120"/>
  <c r="AD23" i="118"/>
  <c r="AD49" i="118"/>
  <c r="AG35" i="120"/>
  <c r="AG36" i="120"/>
  <c r="AD50" i="118"/>
  <c r="AD17" i="118"/>
  <c r="AG37" i="120"/>
  <c r="AG38" i="120"/>
  <c r="AD36" i="118"/>
  <c r="AD37" i="118"/>
  <c r="AG39" i="120"/>
  <c r="AG40" i="120"/>
  <c r="AD16" i="118"/>
  <c r="AD38" i="118"/>
  <c r="AG41" i="120"/>
  <c r="AD39" i="118"/>
  <c r="AG2" i="120"/>
  <c r="P53" i="120"/>
  <c r="P52" i="120"/>
  <c r="P51" i="120"/>
  <c r="AG20" i="118" l="1"/>
  <c r="AG12" i="118"/>
  <c r="AG13" i="118"/>
  <c r="AG14" i="118"/>
  <c r="AG21" i="118"/>
  <c r="AG22" i="118"/>
  <c r="AG17" i="118"/>
  <c r="AG16" i="118"/>
  <c r="AG39" i="118"/>
  <c r="AG42" i="118"/>
  <c r="AG31" i="118"/>
  <c r="AG44" i="118"/>
  <c r="AG30" i="118"/>
  <c r="AG41" i="118"/>
  <c r="AG43" i="118"/>
  <c r="AG47" i="118"/>
  <c r="AG32" i="118"/>
  <c r="AG29" i="118"/>
  <c r="AG27" i="118"/>
  <c r="AG45" i="118"/>
  <c r="AG19" i="118"/>
  <c r="AG15" i="118"/>
  <c r="AG33" i="118"/>
  <c r="AG34" i="118"/>
  <c r="AG35" i="118"/>
  <c r="AG46" i="118"/>
  <c r="AG48" i="118"/>
  <c r="AG28" i="118"/>
  <c r="AG25" i="118"/>
  <c r="AG26" i="118"/>
  <c r="AG24" i="118"/>
  <c r="AG11" i="118"/>
  <c r="AG18" i="118"/>
  <c r="AG40" i="118"/>
  <c r="AG23" i="118"/>
  <c r="AG49" i="118"/>
  <c r="AG50" i="118"/>
  <c r="AG36" i="118"/>
  <c r="AG37" i="118"/>
  <c r="AG38" i="118"/>
  <c r="AG2" i="118"/>
  <c r="V4" i="119"/>
  <c r="K22" i="116" l="1"/>
  <c r="L22" i="116"/>
  <c r="J27" i="116"/>
  <c r="I27" i="116"/>
  <c r="H27" i="116"/>
  <c r="G27" i="116"/>
  <c r="F27" i="116"/>
  <c r="E27" i="116"/>
  <c r="D27" i="116"/>
  <c r="C27" i="116"/>
  <c r="J40" i="116"/>
  <c r="I40" i="116"/>
  <c r="H40" i="116"/>
  <c r="G40" i="116"/>
  <c r="F40" i="116"/>
  <c r="E40" i="116"/>
  <c r="D40" i="116"/>
  <c r="C40" i="116"/>
  <c r="J26" i="116"/>
  <c r="I26" i="116"/>
  <c r="H26" i="116"/>
  <c r="G26" i="116"/>
  <c r="F26" i="116"/>
  <c r="E26" i="116"/>
  <c r="D26" i="116"/>
  <c r="C26" i="116"/>
  <c r="J20" i="116"/>
  <c r="I20" i="116"/>
  <c r="H20" i="116"/>
  <c r="G20" i="116"/>
  <c r="F20" i="116"/>
  <c r="E20" i="116"/>
  <c r="D20" i="116"/>
  <c r="C20" i="116"/>
  <c r="J28" i="116"/>
  <c r="I28" i="116"/>
  <c r="H28" i="116"/>
  <c r="G28" i="116"/>
  <c r="F28" i="116"/>
  <c r="E28" i="116"/>
  <c r="D28" i="116"/>
  <c r="C28" i="116"/>
  <c r="J25" i="116"/>
  <c r="I25" i="116"/>
  <c r="H25" i="116"/>
  <c r="G25" i="116"/>
  <c r="F25" i="116"/>
  <c r="E25" i="116"/>
  <c r="D25" i="116"/>
  <c r="C25" i="116"/>
  <c r="J45" i="116"/>
  <c r="I45" i="116"/>
  <c r="H45" i="116"/>
  <c r="G45" i="116"/>
  <c r="F45" i="116"/>
  <c r="E45" i="116"/>
  <c r="D45" i="116"/>
  <c r="C45" i="116"/>
  <c r="J22" i="116"/>
  <c r="I22" i="116"/>
  <c r="H22" i="116"/>
  <c r="G22" i="116"/>
  <c r="F22" i="116"/>
  <c r="E22" i="116"/>
  <c r="D22" i="116"/>
  <c r="C22" i="116"/>
  <c r="J29" i="116"/>
  <c r="I29" i="116"/>
  <c r="H29" i="116"/>
  <c r="G29" i="116"/>
  <c r="F29" i="116"/>
  <c r="E29" i="116"/>
  <c r="D29" i="116"/>
  <c r="C29" i="116"/>
  <c r="J18" i="116"/>
  <c r="I18" i="116"/>
  <c r="H18" i="116"/>
  <c r="G18" i="116"/>
  <c r="F18" i="116"/>
  <c r="E18" i="116"/>
  <c r="D18" i="116"/>
  <c r="C18" i="116"/>
  <c r="J17" i="116"/>
  <c r="I17" i="116"/>
  <c r="H17" i="116"/>
  <c r="G17" i="116"/>
  <c r="F17" i="116"/>
  <c r="E17" i="116"/>
  <c r="D17" i="116"/>
  <c r="C17" i="116"/>
  <c r="J30" i="116"/>
  <c r="I30" i="116"/>
  <c r="H30" i="116"/>
  <c r="G30" i="116"/>
  <c r="F30" i="116"/>
  <c r="E30" i="116"/>
  <c r="D30" i="116"/>
  <c r="C30" i="116"/>
  <c r="I40" i="119" l="1"/>
  <c r="C30" i="119"/>
  <c r="M22" i="116"/>
  <c r="O4" i="116"/>
  <c r="H19" i="116"/>
  <c r="H48" i="116"/>
  <c r="J43" i="116"/>
  <c r="I43" i="116"/>
  <c r="H43" i="116"/>
  <c r="J41" i="116"/>
  <c r="I41" i="116"/>
  <c r="H41" i="116"/>
  <c r="J37" i="116"/>
  <c r="I37" i="116"/>
  <c r="H37" i="116"/>
  <c r="J46" i="116"/>
  <c r="I46" i="116"/>
  <c r="H46" i="116"/>
  <c r="J36" i="116"/>
  <c r="J28" i="119" s="1"/>
  <c r="I36" i="116"/>
  <c r="I28" i="119" s="1"/>
  <c r="H36" i="116"/>
  <c r="H28" i="119" s="1"/>
  <c r="J35" i="116"/>
  <c r="I35" i="116"/>
  <c r="H35" i="116"/>
  <c r="J38" i="116"/>
  <c r="I38" i="116"/>
  <c r="H38" i="116"/>
  <c r="J44" i="116"/>
  <c r="J27" i="119" s="1"/>
  <c r="I44" i="116"/>
  <c r="I27" i="119" s="1"/>
  <c r="H44" i="116"/>
  <c r="J47" i="116"/>
  <c r="J30" i="119" s="1"/>
  <c r="I47" i="116"/>
  <c r="I30" i="119" s="1"/>
  <c r="H47" i="116"/>
  <c r="H30" i="119" s="1"/>
  <c r="J42" i="116"/>
  <c r="I42" i="116"/>
  <c r="H42" i="116"/>
  <c r="J39" i="116"/>
  <c r="I39" i="116"/>
  <c r="H39" i="116"/>
  <c r="J33" i="116"/>
  <c r="I33" i="116"/>
  <c r="H33" i="116"/>
  <c r="J34" i="116"/>
  <c r="J17" i="119" s="1"/>
  <c r="I34" i="116"/>
  <c r="I17" i="119" s="1"/>
  <c r="H34" i="116"/>
  <c r="H17" i="119" s="1"/>
  <c r="J12" i="116"/>
  <c r="I12" i="116"/>
  <c r="H12" i="116"/>
  <c r="J16" i="116"/>
  <c r="I16" i="116"/>
  <c r="H16" i="116"/>
  <c r="J32" i="116"/>
  <c r="I32" i="116"/>
  <c r="H32" i="116"/>
  <c r="J14" i="116"/>
  <c r="I14" i="116"/>
  <c r="H14" i="116"/>
  <c r="J31" i="116"/>
  <c r="I31" i="116"/>
  <c r="H31" i="116"/>
  <c r="J24" i="116"/>
  <c r="I24" i="116"/>
  <c r="H24" i="116"/>
  <c r="J15" i="116"/>
  <c r="I15" i="116"/>
  <c r="H15" i="116"/>
  <c r="J23" i="116"/>
  <c r="J40" i="119" s="1"/>
  <c r="I23" i="116"/>
  <c r="H23" i="116"/>
  <c r="H40" i="119" s="1"/>
  <c r="J13" i="116"/>
  <c r="I13" i="116"/>
  <c r="H13" i="116"/>
  <c r="J11" i="116"/>
  <c r="I11" i="116"/>
  <c r="H11" i="116"/>
  <c r="J9" i="116"/>
  <c r="I9" i="116"/>
  <c r="H9" i="116"/>
  <c r="J21" i="116"/>
  <c r="I21" i="116"/>
  <c r="H21" i="116"/>
  <c r="J10" i="116"/>
  <c r="I10" i="116"/>
  <c r="H10" i="116"/>
  <c r="E4" i="119"/>
  <c r="E3" i="119"/>
  <c r="E2" i="119"/>
  <c r="E4" i="116"/>
  <c r="E3" i="116"/>
  <c r="E2" i="116"/>
  <c r="B10" i="116"/>
  <c r="B11" i="116" s="1"/>
  <c r="B12" i="116" s="1"/>
  <c r="G23" i="116"/>
  <c r="F23" i="116"/>
  <c r="E23" i="116"/>
  <c r="D23" i="116"/>
  <c r="C23" i="116"/>
  <c r="G35" i="116"/>
  <c r="F35" i="116"/>
  <c r="E35" i="116"/>
  <c r="D35" i="116"/>
  <c r="C35" i="116"/>
  <c r="G38" i="116"/>
  <c r="F38" i="116"/>
  <c r="E38" i="116"/>
  <c r="D38" i="116"/>
  <c r="C38" i="116"/>
  <c r="G15" i="116"/>
  <c r="F15" i="116"/>
  <c r="E15" i="116"/>
  <c r="D15" i="116"/>
  <c r="C15" i="116"/>
  <c r="G44" i="116"/>
  <c r="F44" i="116"/>
  <c r="E44" i="116"/>
  <c r="D44" i="116"/>
  <c r="C44" i="116"/>
  <c r="G19" i="116"/>
  <c r="F19" i="116"/>
  <c r="E19" i="116"/>
  <c r="D19" i="116"/>
  <c r="C19" i="116"/>
  <c r="G48" i="116"/>
  <c r="F48" i="116"/>
  <c r="E48" i="116"/>
  <c r="D48" i="116"/>
  <c r="C48" i="116"/>
  <c r="G41" i="116"/>
  <c r="F41" i="116"/>
  <c r="E41" i="116"/>
  <c r="D41" i="116"/>
  <c r="C41" i="116"/>
  <c r="G13" i="116"/>
  <c r="F13" i="116"/>
  <c r="E13" i="116"/>
  <c r="D13" i="116"/>
  <c r="C13" i="116"/>
  <c r="C40" i="119" s="1"/>
  <c r="G31" i="116"/>
  <c r="F31" i="116"/>
  <c r="E31" i="116"/>
  <c r="D31" i="116"/>
  <c r="C31" i="116"/>
  <c r="G32" i="116"/>
  <c r="F32" i="116"/>
  <c r="E32" i="116"/>
  <c r="D32" i="116"/>
  <c r="C32" i="116"/>
  <c r="G14" i="116"/>
  <c r="F14" i="116"/>
  <c r="E14" i="116"/>
  <c r="D14" i="116"/>
  <c r="C14" i="116"/>
  <c r="G39" i="116"/>
  <c r="F39" i="116"/>
  <c r="E39" i="116"/>
  <c r="D39" i="116"/>
  <c r="C39" i="116"/>
  <c r="G21" i="116"/>
  <c r="F21" i="116"/>
  <c r="E21" i="116"/>
  <c r="D21" i="116"/>
  <c r="C21" i="116"/>
  <c r="G36" i="116"/>
  <c r="F36" i="116"/>
  <c r="E36" i="116"/>
  <c r="D36" i="116"/>
  <c r="C36" i="116"/>
  <c r="C29" i="119" s="1"/>
  <c r="G10" i="116"/>
  <c r="F10" i="116"/>
  <c r="E10" i="116"/>
  <c r="D10" i="116"/>
  <c r="C10" i="116"/>
  <c r="G16" i="116"/>
  <c r="F16" i="116"/>
  <c r="E16" i="116"/>
  <c r="D16" i="116"/>
  <c r="C16" i="116"/>
  <c r="G46" i="116"/>
  <c r="F46" i="116"/>
  <c r="E46" i="116"/>
  <c r="D46" i="116"/>
  <c r="C46" i="116"/>
  <c r="G47" i="116"/>
  <c r="F47" i="116"/>
  <c r="E47" i="116"/>
  <c r="D47" i="116"/>
  <c r="D30" i="119" s="1"/>
  <c r="C47" i="116"/>
  <c r="G11" i="116"/>
  <c r="F11" i="116"/>
  <c r="E11" i="116"/>
  <c r="D11" i="116"/>
  <c r="C11" i="116"/>
  <c r="G9" i="116"/>
  <c r="F9" i="116"/>
  <c r="E9" i="116"/>
  <c r="D9" i="116"/>
  <c r="C9" i="116"/>
  <c r="G37" i="116"/>
  <c r="F37" i="116"/>
  <c r="E37" i="116"/>
  <c r="D37" i="116"/>
  <c r="D29" i="119" s="1"/>
  <c r="C37" i="116"/>
  <c r="G42" i="116"/>
  <c r="F42" i="116"/>
  <c r="E42" i="116"/>
  <c r="D42" i="116"/>
  <c r="C42" i="116"/>
  <c r="G43" i="116"/>
  <c r="F43" i="116"/>
  <c r="E43" i="116"/>
  <c r="D43" i="116"/>
  <c r="D28" i="119" s="1"/>
  <c r="C43" i="116"/>
  <c r="C28" i="119" s="1"/>
  <c r="G33" i="116"/>
  <c r="F33" i="116"/>
  <c r="E33" i="116"/>
  <c r="D33" i="116"/>
  <c r="C33" i="116"/>
  <c r="G12" i="116"/>
  <c r="F12" i="116"/>
  <c r="E12" i="116"/>
  <c r="D12" i="116"/>
  <c r="C12" i="116"/>
  <c r="G34" i="116"/>
  <c r="F34" i="116"/>
  <c r="E34" i="116"/>
  <c r="D34" i="116"/>
  <c r="C34" i="116"/>
  <c r="G24" i="116"/>
  <c r="F24" i="116"/>
  <c r="E24" i="116"/>
  <c r="D24" i="116"/>
  <c r="C24" i="116"/>
  <c r="L35" i="116"/>
  <c r="K35" i="116"/>
  <c r="L38" i="116"/>
  <c r="K38" i="116"/>
  <c r="L15" i="116"/>
  <c r="K15" i="116"/>
  <c r="L44" i="116"/>
  <c r="L19" i="116"/>
  <c r="K19" i="116"/>
  <c r="L48" i="116"/>
  <c r="K48" i="116"/>
  <c r="L41" i="116"/>
  <c r="K41" i="116"/>
  <c r="L13" i="116"/>
  <c r="L31" i="116"/>
  <c r="K31" i="116"/>
  <c r="L32" i="116"/>
  <c r="K32" i="116"/>
  <c r="L14" i="116"/>
  <c r="K14" i="116"/>
  <c r="L39" i="116"/>
  <c r="K39" i="116"/>
  <c r="L21" i="116"/>
  <c r="K21" i="116"/>
  <c r="L30" i="116"/>
  <c r="K30" i="116"/>
  <c r="L36" i="116"/>
  <c r="K36" i="116"/>
  <c r="L10" i="116"/>
  <c r="K10" i="116"/>
  <c r="L27" i="116"/>
  <c r="K27" i="116"/>
  <c r="L16" i="116"/>
  <c r="K16" i="116"/>
  <c r="L46" i="116"/>
  <c r="K46" i="116"/>
  <c r="L47" i="116"/>
  <c r="L45" i="116"/>
  <c r="K45" i="116"/>
  <c r="L11" i="116"/>
  <c r="L29" i="116"/>
  <c r="K29" i="116"/>
  <c r="L28" i="116"/>
  <c r="K28" i="116"/>
  <c r="L40" i="116"/>
  <c r="K40" i="116"/>
  <c r="L26" i="116"/>
  <c r="K26" i="116"/>
  <c r="L9" i="116"/>
  <c r="K9" i="116"/>
  <c r="L37" i="116"/>
  <c r="L42" i="116"/>
  <c r="K42" i="116"/>
  <c r="L43" i="116"/>
  <c r="K43" i="116"/>
  <c r="L20" i="116"/>
  <c r="K20" i="116"/>
  <c r="L18" i="116"/>
  <c r="L17" i="116"/>
  <c r="K17" i="116"/>
  <c r="L33" i="116"/>
  <c r="L25" i="116"/>
  <c r="K25" i="116"/>
  <c r="L12" i="116"/>
  <c r="K12" i="116"/>
  <c r="L34" i="116"/>
  <c r="K34" i="116"/>
  <c r="L24" i="116"/>
  <c r="K24" i="116"/>
  <c r="L23" i="116"/>
  <c r="K23" i="116"/>
  <c r="D38" i="119" l="1"/>
  <c r="J29" i="119"/>
  <c r="I29" i="119"/>
  <c r="H29" i="119"/>
  <c r="D27" i="119"/>
  <c r="H27" i="119"/>
  <c r="C27" i="119"/>
  <c r="D21" i="119"/>
  <c r="C21" i="119"/>
  <c r="D17" i="119"/>
  <c r="C17" i="119"/>
  <c r="D44" i="119"/>
  <c r="D40" i="119"/>
  <c r="H18" i="119"/>
  <c r="D18" i="119"/>
  <c r="C18" i="119"/>
  <c r="C39" i="119"/>
  <c r="O48" i="116"/>
  <c r="V48" i="119" s="1"/>
  <c r="G26" i="119"/>
  <c r="D39" i="119"/>
  <c r="F26" i="119"/>
  <c r="E26" i="119"/>
  <c r="D46" i="119"/>
  <c r="H46" i="119"/>
  <c r="J36" i="119"/>
  <c r="I36" i="119"/>
  <c r="H36" i="119"/>
  <c r="D10" i="119"/>
  <c r="Q10" i="119" s="1"/>
  <c r="C10" i="119"/>
  <c r="C33" i="119"/>
  <c r="J41" i="119"/>
  <c r="I41" i="119"/>
  <c r="H41" i="119"/>
  <c r="J46" i="119"/>
  <c r="I46" i="119"/>
  <c r="H48" i="119"/>
  <c r="D33" i="119"/>
  <c r="C23" i="119"/>
  <c r="H14" i="119"/>
  <c r="J23" i="119"/>
  <c r="H23" i="119"/>
  <c r="J24" i="119"/>
  <c r="I23" i="119"/>
  <c r="I24" i="119"/>
  <c r="H24" i="119"/>
  <c r="T28" i="119"/>
  <c r="N28" i="119"/>
  <c r="M28" i="119"/>
  <c r="K28" i="119"/>
  <c r="Q28" i="119"/>
  <c r="O28" i="119"/>
  <c r="S28" i="119"/>
  <c r="R28" i="119"/>
  <c r="P28" i="119"/>
  <c r="L28" i="119"/>
  <c r="N30" i="119"/>
  <c r="T30" i="119"/>
  <c r="L30" i="119"/>
  <c r="O30" i="119"/>
  <c r="S30" i="119"/>
  <c r="K30" i="119"/>
  <c r="Q30" i="119"/>
  <c r="P30" i="119"/>
  <c r="R30" i="119"/>
  <c r="M30" i="119"/>
  <c r="T29" i="119"/>
  <c r="O29" i="119"/>
  <c r="R29" i="119"/>
  <c r="P29" i="119"/>
  <c r="N29" i="119"/>
  <c r="S29" i="119"/>
  <c r="K29" i="119"/>
  <c r="L29" i="119"/>
  <c r="M29" i="119"/>
  <c r="Q29" i="119"/>
  <c r="L17" i="119"/>
  <c r="T38" i="119"/>
  <c r="M38" i="119"/>
  <c r="K38" i="119"/>
  <c r="L38" i="119"/>
  <c r="Q38" i="119"/>
  <c r="N38" i="119"/>
  <c r="S38" i="119"/>
  <c r="P38" i="119"/>
  <c r="R38" i="119"/>
  <c r="O38" i="119"/>
  <c r="M44" i="119"/>
  <c r="T44" i="119"/>
  <c r="Q44" i="119"/>
  <c r="S44" i="119"/>
  <c r="P44" i="119"/>
  <c r="N44" i="119"/>
  <c r="K44" i="119"/>
  <c r="L44" i="119"/>
  <c r="R44" i="119"/>
  <c r="O44" i="119"/>
  <c r="O39" i="119"/>
  <c r="N39" i="119"/>
  <c r="M39" i="119"/>
  <c r="L39" i="119"/>
  <c r="S39" i="119"/>
  <c r="K39" i="119"/>
  <c r="P39" i="119"/>
  <c r="R39" i="119"/>
  <c r="T39" i="119"/>
  <c r="Q39" i="119"/>
  <c r="Q21" i="119"/>
  <c r="T21" i="119"/>
  <c r="M21" i="119"/>
  <c r="N21" i="119"/>
  <c r="O21" i="119"/>
  <c r="S21" i="119"/>
  <c r="R21" i="119"/>
  <c r="D42" i="119"/>
  <c r="G43" i="119"/>
  <c r="F43" i="119"/>
  <c r="D48" i="119"/>
  <c r="J14" i="119"/>
  <c r="I14" i="119"/>
  <c r="J44" i="119"/>
  <c r="I44" i="119"/>
  <c r="H44" i="119"/>
  <c r="E43" i="119"/>
  <c r="D43" i="119"/>
  <c r="D41" i="119"/>
  <c r="D23" i="119"/>
  <c r="H38" i="119"/>
  <c r="H9" i="119"/>
  <c r="J15" i="119"/>
  <c r="I15" i="119"/>
  <c r="H15" i="119"/>
  <c r="H16" i="119"/>
  <c r="J11" i="119"/>
  <c r="I11" i="119"/>
  <c r="H11" i="119"/>
  <c r="J21" i="119"/>
  <c r="I21" i="119"/>
  <c r="H21" i="119"/>
  <c r="J43" i="119"/>
  <c r="I43" i="119"/>
  <c r="H43" i="119"/>
  <c r="J33" i="119"/>
  <c r="I33" i="119"/>
  <c r="H33" i="119"/>
  <c r="J42" i="119"/>
  <c r="I42" i="119"/>
  <c r="H42" i="119"/>
  <c r="J34" i="119"/>
  <c r="I34" i="119"/>
  <c r="H34" i="119"/>
  <c r="J47" i="119"/>
  <c r="I47" i="119"/>
  <c r="H47" i="119"/>
  <c r="D34" i="119"/>
  <c r="D13" i="119"/>
  <c r="C13" i="119"/>
  <c r="G9" i="119"/>
  <c r="F9" i="119"/>
  <c r="E9" i="119"/>
  <c r="D9" i="119"/>
  <c r="C9" i="119"/>
  <c r="C16" i="119"/>
  <c r="D36" i="119"/>
  <c r="D47" i="119"/>
  <c r="D14" i="119"/>
  <c r="D15" i="119"/>
  <c r="J20" i="119"/>
  <c r="J37" i="119"/>
  <c r="I20" i="119"/>
  <c r="I37" i="119"/>
  <c r="H20" i="119"/>
  <c r="H37" i="119"/>
  <c r="J22" i="119"/>
  <c r="J35" i="119"/>
  <c r="I22" i="119"/>
  <c r="I35" i="119"/>
  <c r="H22" i="119"/>
  <c r="H35" i="119"/>
  <c r="J18" i="119"/>
  <c r="J38" i="119"/>
  <c r="I18" i="119"/>
  <c r="I38" i="119"/>
  <c r="J19" i="119"/>
  <c r="J39" i="119"/>
  <c r="I19" i="119"/>
  <c r="I39" i="119"/>
  <c r="H19" i="119"/>
  <c r="H39" i="119"/>
  <c r="J25" i="119"/>
  <c r="J32" i="119"/>
  <c r="I25" i="119"/>
  <c r="I32" i="119"/>
  <c r="H25" i="119"/>
  <c r="H32" i="119"/>
  <c r="J26" i="119"/>
  <c r="J31" i="119"/>
  <c r="I26" i="119"/>
  <c r="I31" i="119"/>
  <c r="H26" i="119"/>
  <c r="H31" i="119"/>
  <c r="D22" i="119"/>
  <c r="D35" i="119"/>
  <c r="D26" i="119"/>
  <c r="D31" i="119"/>
  <c r="D25" i="119"/>
  <c r="D32" i="119"/>
  <c r="D20" i="119"/>
  <c r="D37" i="119"/>
  <c r="J12" i="119"/>
  <c r="J45" i="119"/>
  <c r="I12" i="119"/>
  <c r="I45" i="119"/>
  <c r="H12" i="119"/>
  <c r="H45" i="119"/>
  <c r="J9" i="119"/>
  <c r="J48" i="119"/>
  <c r="I9" i="119"/>
  <c r="I48" i="119"/>
  <c r="D12" i="119"/>
  <c r="D45" i="119"/>
  <c r="I16" i="119"/>
  <c r="J13" i="119"/>
  <c r="I13" i="119"/>
  <c r="H13" i="119"/>
  <c r="J10" i="119"/>
  <c r="I10" i="119"/>
  <c r="H10" i="119"/>
  <c r="C42" i="119"/>
  <c r="C34" i="119"/>
  <c r="D16" i="119"/>
  <c r="C43" i="119"/>
  <c r="D19" i="119"/>
  <c r="D24" i="119"/>
  <c r="D11" i="119"/>
  <c r="C11" i="119"/>
  <c r="J16" i="119"/>
  <c r="C38" i="119"/>
  <c r="C44" i="119"/>
  <c r="C19" i="119"/>
  <c r="C36" i="119"/>
  <c r="C47" i="119"/>
  <c r="C41" i="119"/>
  <c r="C46" i="119"/>
  <c r="C48" i="119"/>
  <c r="C14" i="119"/>
  <c r="C15" i="119"/>
  <c r="C24" i="119"/>
  <c r="C22" i="119"/>
  <c r="C35" i="119"/>
  <c r="C26" i="119"/>
  <c r="C31" i="119"/>
  <c r="C25" i="119"/>
  <c r="C32" i="119"/>
  <c r="C20" i="119"/>
  <c r="C37" i="119"/>
  <c r="C45" i="119"/>
  <c r="C12" i="119"/>
  <c r="O42" i="116"/>
  <c r="V42" i="119" s="1"/>
  <c r="O29" i="116"/>
  <c r="V29" i="119" s="1"/>
  <c r="O26" i="116"/>
  <c r="V26" i="119" s="1"/>
  <c r="O21" i="116"/>
  <c r="V21" i="119" s="1"/>
  <c r="O25" i="116"/>
  <c r="V25" i="119" s="1"/>
  <c r="O19" i="116"/>
  <c r="V19" i="119" s="1"/>
  <c r="O28" i="116"/>
  <c r="V28" i="119" s="1"/>
  <c r="O9" i="116"/>
  <c r="V9" i="119" s="1"/>
  <c r="O32" i="116"/>
  <c r="V32" i="119" s="1"/>
  <c r="L50" i="116"/>
  <c r="M44" i="116"/>
  <c r="K44" i="116"/>
  <c r="M33" i="116"/>
  <c r="K33" i="116"/>
  <c r="M18" i="116"/>
  <c r="K18" i="116"/>
  <c r="O31" i="116" s="1"/>
  <c r="V31" i="119" s="1"/>
  <c r="M37" i="116"/>
  <c r="K37" i="116"/>
  <c r="M47" i="116"/>
  <c r="K47" i="116"/>
  <c r="M13" i="116"/>
  <c r="K13" i="116"/>
  <c r="M11" i="116"/>
  <c r="K11" i="116"/>
  <c r="M23" i="116"/>
  <c r="M10" i="116"/>
  <c r="M25" i="116"/>
  <c r="M29" i="116"/>
  <c r="M14" i="116"/>
  <c r="M17" i="116"/>
  <c r="M45" i="116"/>
  <c r="M31" i="116"/>
  <c r="M20" i="116"/>
  <c r="M46" i="116"/>
  <c r="M43" i="116"/>
  <c r="M42" i="116"/>
  <c r="M19" i="116"/>
  <c r="M34" i="116"/>
  <c r="M40" i="116"/>
  <c r="M21" i="116"/>
  <c r="M35" i="116"/>
  <c r="M16" i="116"/>
  <c r="M48" i="116"/>
  <c r="M41" i="116"/>
  <c r="M27" i="116"/>
  <c r="M9" i="116"/>
  <c r="M36" i="116"/>
  <c r="M15" i="116"/>
  <c r="M32" i="116"/>
  <c r="M24" i="116"/>
  <c r="M26" i="116"/>
  <c r="M30" i="116"/>
  <c r="M38" i="116"/>
  <c r="M12" i="116"/>
  <c r="M28" i="116"/>
  <c r="M39" i="116"/>
  <c r="L27" i="119" l="1"/>
  <c r="M27" i="119"/>
  <c r="O27" i="119"/>
  <c r="T27" i="119"/>
  <c r="N27" i="119"/>
  <c r="S27" i="119"/>
  <c r="P27" i="119"/>
  <c r="K27" i="119"/>
  <c r="R27" i="119"/>
  <c r="Q27" i="119"/>
  <c r="P21" i="119"/>
  <c r="K21" i="119"/>
  <c r="L21" i="119"/>
  <c r="M40" i="119"/>
  <c r="O40" i="119"/>
  <c r="P40" i="119"/>
  <c r="Q40" i="119"/>
  <c r="S40" i="119"/>
  <c r="L40" i="119"/>
  <c r="T17" i="119"/>
  <c r="K17" i="119"/>
  <c r="N17" i="119"/>
  <c r="O17" i="119"/>
  <c r="S17" i="119"/>
  <c r="P17" i="119"/>
  <c r="Q17" i="119"/>
  <c r="R17" i="119"/>
  <c r="M17" i="119"/>
  <c r="R40" i="119"/>
  <c r="T40" i="119"/>
  <c r="K40" i="119"/>
  <c r="N40" i="119"/>
  <c r="Q18" i="119"/>
  <c r="N18" i="119"/>
  <c r="M18" i="119"/>
  <c r="K18" i="119"/>
  <c r="T18" i="119"/>
  <c r="R18" i="119"/>
  <c r="O18" i="119"/>
  <c r="L18" i="119"/>
  <c r="S18" i="119"/>
  <c r="P18" i="119"/>
  <c r="O47" i="116"/>
  <c r="V47" i="119" s="1"/>
  <c r="O30" i="116"/>
  <c r="V30" i="119" s="1"/>
  <c r="O46" i="116"/>
  <c r="V46" i="119" s="1"/>
  <c r="O34" i="116"/>
  <c r="V34" i="119" s="1"/>
  <c r="L46" i="119"/>
  <c r="S46" i="119"/>
  <c r="S10" i="119"/>
  <c r="N10" i="119"/>
  <c r="T10" i="119"/>
  <c r="P10" i="119"/>
  <c r="M10" i="119"/>
  <c r="R10" i="119"/>
  <c r="L10" i="119"/>
  <c r="K10" i="119"/>
  <c r="O10" i="119"/>
  <c r="R46" i="119"/>
  <c r="T46" i="119"/>
  <c r="P46" i="119"/>
  <c r="N46" i="119"/>
  <c r="Q46" i="119"/>
  <c r="K46" i="119"/>
  <c r="O46" i="119"/>
  <c r="M46" i="119"/>
  <c r="Q33" i="119"/>
  <c r="S33" i="119"/>
  <c r="N33" i="119"/>
  <c r="M33" i="119"/>
  <c r="O33" i="119"/>
  <c r="T33" i="119"/>
  <c r="L33" i="119"/>
  <c r="R33" i="119"/>
  <c r="K33" i="119"/>
  <c r="P33" i="119"/>
  <c r="O43" i="116"/>
  <c r="V43" i="119" s="1"/>
  <c r="O27" i="116"/>
  <c r="V27" i="119" s="1"/>
  <c r="O24" i="116"/>
  <c r="V24" i="119" s="1"/>
  <c r="O16" i="116"/>
  <c r="V16" i="119" s="1"/>
  <c r="T42" i="119"/>
  <c r="K42" i="119"/>
  <c r="O42" i="119"/>
  <c r="P42" i="119"/>
  <c r="L42" i="119"/>
  <c r="R42" i="119"/>
  <c r="S42" i="119"/>
  <c r="Q42" i="119"/>
  <c r="M42" i="119"/>
  <c r="N42" i="119"/>
  <c r="N48" i="119"/>
  <c r="P48" i="119"/>
  <c r="T48" i="119"/>
  <c r="L48" i="119"/>
  <c r="R48" i="119"/>
  <c r="K48" i="119"/>
  <c r="M48" i="119"/>
  <c r="S48" i="119"/>
  <c r="O48" i="119"/>
  <c r="Q48" i="119"/>
  <c r="Q43" i="119"/>
  <c r="P43" i="119"/>
  <c r="T43" i="119"/>
  <c r="N43" i="119"/>
  <c r="R43" i="119"/>
  <c r="O43" i="119"/>
  <c r="S43" i="119"/>
  <c r="L43" i="119"/>
  <c r="M43" i="119"/>
  <c r="K43" i="119"/>
  <c r="N41" i="119"/>
  <c r="S41" i="119"/>
  <c r="K41" i="119"/>
  <c r="L41" i="119"/>
  <c r="M41" i="119"/>
  <c r="O41" i="119"/>
  <c r="R41" i="119"/>
  <c r="T41" i="119"/>
  <c r="P41" i="119"/>
  <c r="Q41" i="119"/>
  <c r="R23" i="119"/>
  <c r="T23" i="119"/>
  <c r="M23" i="119"/>
  <c r="N23" i="119"/>
  <c r="L23" i="119"/>
  <c r="P23" i="119"/>
  <c r="K23" i="119"/>
  <c r="O23" i="119"/>
  <c r="S23" i="119"/>
  <c r="Q23" i="119"/>
  <c r="T34" i="119"/>
  <c r="R34" i="119"/>
  <c r="M34" i="119"/>
  <c r="K34" i="119"/>
  <c r="O34" i="119"/>
  <c r="Q34" i="119"/>
  <c r="S34" i="119"/>
  <c r="N34" i="119"/>
  <c r="L34" i="119"/>
  <c r="P34" i="119"/>
  <c r="P13" i="119"/>
  <c r="T13" i="119"/>
  <c r="M13" i="119"/>
  <c r="R13" i="119"/>
  <c r="O13" i="119"/>
  <c r="L13" i="119"/>
  <c r="Q13" i="119"/>
  <c r="N13" i="119"/>
  <c r="S13" i="119"/>
  <c r="K13" i="119"/>
  <c r="Q9" i="119"/>
  <c r="O9" i="119"/>
  <c r="M9" i="119"/>
  <c r="N9" i="119"/>
  <c r="L9" i="119"/>
  <c r="K9" i="119"/>
  <c r="R9" i="119"/>
  <c r="T9" i="119"/>
  <c r="S9" i="119"/>
  <c r="P9" i="119"/>
  <c r="Q36" i="119"/>
  <c r="S36" i="119"/>
  <c r="M36" i="119"/>
  <c r="P36" i="119"/>
  <c r="K36" i="119"/>
  <c r="L36" i="119"/>
  <c r="T36" i="119"/>
  <c r="R36" i="119"/>
  <c r="N36" i="119"/>
  <c r="O36" i="119"/>
  <c r="S47" i="119"/>
  <c r="L47" i="119"/>
  <c r="O47" i="119"/>
  <c r="M47" i="119"/>
  <c r="R47" i="119"/>
  <c r="Q47" i="119"/>
  <c r="P47" i="119"/>
  <c r="N47" i="119"/>
  <c r="T47" i="119"/>
  <c r="K47" i="119"/>
  <c r="S14" i="119"/>
  <c r="O14" i="119"/>
  <c r="L14" i="119"/>
  <c r="R14" i="119"/>
  <c r="M14" i="119"/>
  <c r="T14" i="119"/>
  <c r="P14" i="119"/>
  <c r="N14" i="119"/>
  <c r="Q14" i="119"/>
  <c r="K14" i="119"/>
  <c r="S15" i="119"/>
  <c r="T15" i="119"/>
  <c r="P15" i="119"/>
  <c r="Q15" i="119"/>
  <c r="N15" i="119"/>
  <c r="R15" i="119"/>
  <c r="K15" i="119"/>
  <c r="O15" i="119"/>
  <c r="L15" i="119"/>
  <c r="M15" i="119"/>
  <c r="R22" i="119"/>
  <c r="Q22" i="119"/>
  <c r="M22" i="119"/>
  <c r="S22" i="119"/>
  <c r="T22" i="119"/>
  <c r="P22" i="119"/>
  <c r="N22" i="119"/>
  <c r="K22" i="119"/>
  <c r="O22" i="119"/>
  <c r="L22" i="119"/>
  <c r="R35" i="119"/>
  <c r="L35" i="119"/>
  <c r="T35" i="119"/>
  <c r="M35" i="119"/>
  <c r="O35" i="119"/>
  <c r="P35" i="119"/>
  <c r="Q35" i="119"/>
  <c r="K35" i="119"/>
  <c r="S35" i="119"/>
  <c r="N35" i="119"/>
  <c r="K26" i="119"/>
  <c r="L26" i="119"/>
  <c r="N26" i="119"/>
  <c r="P26" i="119"/>
  <c r="T26" i="119"/>
  <c r="O26" i="119"/>
  <c r="Q26" i="119"/>
  <c r="M26" i="119"/>
  <c r="R26" i="119"/>
  <c r="S26" i="119"/>
  <c r="R31" i="119"/>
  <c r="L31" i="119"/>
  <c r="S31" i="119"/>
  <c r="T31" i="119"/>
  <c r="P31" i="119"/>
  <c r="M31" i="119"/>
  <c r="O31" i="119"/>
  <c r="K31" i="119"/>
  <c r="Q31" i="119"/>
  <c r="N31" i="119"/>
  <c r="Q25" i="119"/>
  <c r="O25" i="119"/>
  <c r="K25" i="119"/>
  <c r="R25" i="119"/>
  <c r="L25" i="119"/>
  <c r="N25" i="119"/>
  <c r="T25" i="119"/>
  <c r="P25" i="119"/>
  <c r="S25" i="119"/>
  <c r="M25" i="119"/>
  <c r="O32" i="119"/>
  <c r="Q32" i="119"/>
  <c r="S32" i="119"/>
  <c r="N32" i="119"/>
  <c r="L32" i="119"/>
  <c r="R32" i="119"/>
  <c r="K32" i="119"/>
  <c r="M32" i="119"/>
  <c r="P32" i="119"/>
  <c r="T32" i="119"/>
  <c r="N20" i="119"/>
  <c r="M20" i="119"/>
  <c r="R20" i="119"/>
  <c r="L20" i="119"/>
  <c r="P20" i="119"/>
  <c r="Q20" i="119"/>
  <c r="K20" i="119"/>
  <c r="S20" i="119"/>
  <c r="T20" i="119"/>
  <c r="O20" i="119"/>
  <c r="T37" i="119"/>
  <c r="M37" i="119"/>
  <c r="S37" i="119"/>
  <c r="Q37" i="119"/>
  <c r="K37" i="119"/>
  <c r="P37" i="119"/>
  <c r="L37" i="119"/>
  <c r="R37" i="119"/>
  <c r="N37" i="119"/>
  <c r="O37" i="119"/>
  <c r="S12" i="119"/>
  <c r="L12" i="119"/>
  <c r="K12" i="119"/>
  <c r="R12" i="119"/>
  <c r="M12" i="119"/>
  <c r="P12" i="119"/>
  <c r="O12" i="119"/>
  <c r="N12" i="119"/>
  <c r="T12" i="119"/>
  <c r="Q12" i="119"/>
  <c r="P45" i="119"/>
  <c r="T45" i="119"/>
  <c r="N45" i="119"/>
  <c r="O45" i="119"/>
  <c r="M45" i="119"/>
  <c r="L45" i="119"/>
  <c r="Q45" i="119"/>
  <c r="S45" i="119"/>
  <c r="R45" i="119"/>
  <c r="K45" i="119"/>
  <c r="K16" i="119"/>
  <c r="R16" i="119"/>
  <c r="M16" i="119"/>
  <c r="N16" i="119"/>
  <c r="Q16" i="119"/>
  <c r="O16" i="119"/>
  <c r="P16" i="119"/>
  <c r="S16" i="119"/>
  <c r="T16" i="119"/>
  <c r="L16" i="119"/>
  <c r="P19" i="119"/>
  <c r="S19" i="119"/>
  <c r="K19" i="119"/>
  <c r="Q19" i="119"/>
  <c r="R19" i="119"/>
  <c r="N19" i="119"/>
  <c r="T19" i="119"/>
  <c r="M19" i="119"/>
  <c r="O19" i="119"/>
  <c r="L19" i="119"/>
  <c r="N24" i="119"/>
  <c r="M24" i="119"/>
  <c r="K24" i="119"/>
  <c r="L24" i="119"/>
  <c r="S24" i="119"/>
  <c r="R24" i="119"/>
  <c r="Q24" i="119"/>
  <c r="O24" i="119"/>
  <c r="T24" i="119"/>
  <c r="P24" i="119"/>
  <c r="T11" i="119"/>
  <c r="P11" i="119"/>
  <c r="Q11" i="119"/>
  <c r="S11" i="119"/>
  <c r="R11" i="119"/>
  <c r="N11" i="119"/>
  <c r="K11" i="119"/>
  <c r="O11" i="119"/>
  <c r="M11" i="119"/>
  <c r="L11" i="119"/>
  <c r="O37" i="116"/>
  <c r="V37" i="119" s="1"/>
  <c r="O20" i="116"/>
  <c r="V20" i="119" s="1"/>
  <c r="O22" i="116"/>
  <c r="V22" i="119" s="1"/>
  <c r="O45" i="116"/>
  <c r="V45" i="119" s="1"/>
  <c r="O38" i="116"/>
  <c r="V38" i="119" s="1"/>
  <c r="O36" i="116"/>
  <c r="V36" i="119" s="1"/>
  <c r="O39" i="116"/>
  <c r="V39" i="119" s="1"/>
  <c r="O33" i="116"/>
  <c r="V33" i="119" s="1"/>
  <c r="O40" i="116"/>
  <c r="V40" i="119" s="1"/>
  <c r="O44" i="116"/>
  <c r="V44" i="119" s="1"/>
  <c r="O10" i="116"/>
  <c r="V10" i="119" s="1"/>
  <c r="O18" i="116"/>
  <c r="V18" i="119" s="1"/>
  <c r="O15" i="116"/>
  <c r="V15" i="119" s="1"/>
  <c r="O23" i="116"/>
  <c r="V23" i="119" s="1"/>
  <c r="O13" i="116"/>
  <c r="V13" i="119" s="1"/>
  <c r="O35" i="116"/>
  <c r="V35" i="119" s="1"/>
  <c r="O11" i="116"/>
  <c r="V11" i="119" s="1"/>
  <c r="O17" i="116"/>
  <c r="V17" i="119" s="1"/>
  <c r="O41" i="116"/>
  <c r="V41" i="119" s="1"/>
  <c r="O14" i="116"/>
  <c r="V14" i="119" s="1"/>
  <c r="M50" i="116"/>
  <c r="O12" i="116"/>
  <c r="V12" i="119" s="1"/>
  <c r="K50" i="116"/>
  <c r="S10" i="116" l="1"/>
  <c r="S9" i="116"/>
  <c r="S11" i="116"/>
  <c r="Z10" i="119" l="1"/>
  <c r="Z9" i="119"/>
  <c r="Z11" i="119"/>
  <c r="B13" i="116"/>
  <c r="B14" i="116"/>
  <c r="B15" i="116"/>
  <c r="B16" i="116" s="1"/>
  <c r="B17" i="116" s="1"/>
  <c r="B18" i="116" s="1"/>
  <c r="B19" i="116" s="1"/>
  <c r="B20" i="116" s="1"/>
  <c r="B21" i="116" s="1"/>
  <c r="B22" i="116" s="1"/>
  <c r="B23" i="116" s="1"/>
  <c r="B24" i="116" s="1"/>
  <c r="B25" i="116" s="1"/>
  <c r="B26" i="116" s="1"/>
  <c r="B27" i="116" s="1"/>
  <c r="B28" i="116" s="1"/>
  <c r="B29" i="116" s="1"/>
  <c r="B30" i="116" s="1"/>
  <c r="B31" i="116" s="1"/>
  <c r="B32" i="116" s="1"/>
  <c r="B33" i="116" s="1"/>
  <c r="B34" i="116" s="1"/>
  <c r="B35" i="116" s="1"/>
  <c r="B36" i="116" s="1"/>
  <c r="B37" i="116" s="1"/>
  <c r="B38" i="116" s="1"/>
  <c r="B39" i="116" s="1"/>
  <c r="B40" i="116" s="1"/>
  <c r="B41" i="116" s="1"/>
  <c r="B42" i="116" s="1"/>
  <c r="B43" i="116" s="1"/>
  <c r="B44" i="116" s="1"/>
  <c r="B45" i="116" s="1"/>
  <c r="B46" i="116" s="1"/>
  <c r="B47" i="116" s="1"/>
  <c r="B48" i="116" s="1"/>
</calcChain>
</file>

<file path=xl/sharedStrings.xml><?xml version="1.0" encoding="utf-8"?>
<sst xmlns="http://schemas.openxmlformats.org/spreadsheetml/2006/main" count="1066" uniqueCount="486">
  <si>
    <t>Rev</t>
  </si>
  <si>
    <t>ESTADO DE TRÁMITES Y PERMISOS DE PROYECTOS MIXTOS, PRIMERA RONDA</t>
  </si>
  <si>
    <t>Socio</t>
  </si>
  <si>
    <t>Proyecto</t>
  </si>
  <si>
    <t>Municipio</t>
  </si>
  <si>
    <t>Estado</t>
  </si>
  <si>
    <t>Tipo</t>
  </si>
  <si>
    <t>Capacidad</t>
  </si>
  <si>
    <t>Fecha de inicio de inversión</t>
  </si>
  <si>
    <t>COD</t>
  </si>
  <si>
    <t>Avance en trámites y/o permisos</t>
  </si>
  <si>
    <t>Grupo de atención</t>
  </si>
  <si>
    <t>Parque</t>
  </si>
  <si>
    <t>LT</t>
  </si>
  <si>
    <t>Global</t>
  </si>
  <si>
    <t>A</t>
  </si>
  <si>
    <t>B</t>
  </si>
  <si>
    <t>C</t>
  </si>
  <si>
    <t>AVANCE GLOBAL</t>
  </si>
  <si>
    <t>NOTAS Y SIMBOLOGÍA</t>
  </si>
  <si>
    <t>Premisis y supuestos de análisis</t>
  </si>
  <si>
    <t>Se analizan por separado el Parque y la LT</t>
  </si>
  <si>
    <t>Trámites y/o Permisos que se incluyen en el presenta análisis</t>
  </si>
  <si>
    <t>Tenencia de la tierra (pondera 10%)</t>
  </si>
  <si>
    <t>Parque (pondera 80%)</t>
  </si>
  <si>
    <t>Estudios de Interconexión (pondera 10%)</t>
  </si>
  <si>
    <t>LT (pondera 20%)</t>
  </si>
  <si>
    <t>Manifestación de Impacto Ambientyal (ponedra 20%)</t>
  </si>
  <si>
    <t>Código de colores</t>
  </si>
  <si>
    <r>
      <rPr>
        <b/>
        <sz val="9"/>
        <rFont val="Aptos Narrow"/>
        <family val="2"/>
      </rPr>
      <t xml:space="preserve">Verde: </t>
    </r>
    <r>
      <rPr>
        <sz val="9"/>
        <rFont val="Aptos Narrow"/>
        <family val="2"/>
      </rPr>
      <t>De un 85.00% a un 100%</t>
    </r>
  </si>
  <si>
    <t>Estudio Técnico Justificativo (pondera 10%)</t>
  </si>
  <si>
    <r>
      <rPr>
        <b/>
        <sz val="9"/>
        <rFont val="Aptos Narrow"/>
        <family val="2"/>
      </rPr>
      <t xml:space="preserve">Amarillo: </t>
    </r>
    <r>
      <rPr>
        <sz val="9"/>
        <rFont val="Aptos Narrow"/>
        <family val="2"/>
      </rPr>
      <t>De un 76.00% a un 84.99%</t>
    </r>
  </si>
  <si>
    <t>Manifestación de Impacto Social (pondera 20%)</t>
  </si>
  <si>
    <r>
      <rPr>
        <b/>
        <sz val="9"/>
        <rFont val="Aptos Narrow"/>
        <family val="2"/>
      </rPr>
      <t xml:space="preserve">Rojo: </t>
    </r>
    <r>
      <rPr>
        <sz val="9"/>
        <rFont val="Aptos Narrow"/>
        <family val="2"/>
      </rPr>
      <t>Debajo de 75.99%</t>
    </r>
  </si>
  <si>
    <t>Consulta Indígena (pondera 10%)</t>
  </si>
  <si>
    <t>(*)</t>
  </si>
  <si>
    <t>Proyecto en segunda ronda de Proyectos Mixtos</t>
  </si>
  <si>
    <t>Instituto Nacional de Antropología e Historia (pondera 5%)</t>
  </si>
  <si>
    <t>(**)</t>
  </si>
  <si>
    <t>Proyecto que no puede ser ingresado al SEN sin que entren obras de refuerzo por un tercero; según CENACE</t>
  </si>
  <si>
    <t>Comisión Nacional del Agua (pondera 5%)</t>
  </si>
  <si>
    <t>Petroleos Mexicanos (5%)</t>
  </si>
  <si>
    <t>Asgencia Federal de Aviación Civil (pondera 5%)</t>
  </si>
  <si>
    <t>Fecha de Inicio de inversión</t>
  </si>
  <si>
    <t>Trámites y Permisos del Parque</t>
  </si>
  <si>
    <t>Grupo de Atención</t>
  </si>
  <si>
    <t>Derechos inmobiliarios</t>
  </si>
  <si>
    <t>Estudios Interconexión</t>
  </si>
  <si>
    <t>ETJ</t>
  </si>
  <si>
    <t>Consulta Indígena</t>
  </si>
  <si>
    <t>PEMEX</t>
  </si>
  <si>
    <t>INAH</t>
  </si>
  <si>
    <t>CONAGUA</t>
  </si>
  <si>
    <t>AFAC</t>
  </si>
  <si>
    <t>San Simón Solar</t>
  </si>
  <si>
    <t>San Quintin</t>
  </si>
  <si>
    <t>Baja California</t>
  </si>
  <si>
    <t>Fotovoltaico</t>
  </si>
  <si>
    <t>80 MW + 30% BESS</t>
  </si>
  <si>
    <t>N/A</t>
  </si>
  <si>
    <t>Liberado</t>
  </si>
  <si>
    <t>San Pedro Solar</t>
  </si>
  <si>
    <t>Huimilpan y Corregidora</t>
  </si>
  <si>
    <t>Querétaro</t>
  </si>
  <si>
    <t>98.2 MW + 30% BESS</t>
  </si>
  <si>
    <t>Energías Renovables de Tamaulipas (Altamira)</t>
  </si>
  <si>
    <t>Altamira</t>
  </si>
  <si>
    <t>Tamaulipas</t>
  </si>
  <si>
    <t>78 MW + 30% BESS</t>
  </si>
  <si>
    <t xml:space="preserve"> C</t>
  </si>
  <si>
    <t>Álvaro Obregón</t>
  </si>
  <si>
    <t>La Paz</t>
  </si>
  <si>
    <t>Baja California Sur</t>
  </si>
  <si>
    <t>90 MW + 100% BESS</t>
  </si>
  <si>
    <t>Selka Power Plant 1</t>
  </si>
  <si>
    <t>Romita</t>
  </si>
  <si>
    <t>Guanajuato</t>
  </si>
  <si>
    <t>141.4 MW + 30% BESS</t>
  </si>
  <si>
    <t>Concepción Mendizábal M. - Fase I</t>
  </si>
  <si>
    <t>Nava</t>
  </si>
  <si>
    <t>Coahuila</t>
  </si>
  <si>
    <t>339 MW + 30.00% BESS</t>
  </si>
  <si>
    <t>Concepción Mendizábal M. - Fase II</t>
  </si>
  <si>
    <t>180 MW + 30.00% BESS</t>
  </si>
  <si>
    <t>Don Humberto</t>
  </si>
  <si>
    <t>Culiacán</t>
  </si>
  <si>
    <t xml:space="preserve">Sinaloa </t>
  </si>
  <si>
    <t>19.2 MW + 30% BESS</t>
  </si>
  <si>
    <t>Concepción Mendizábal M. - Fase III</t>
  </si>
  <si>
    <t>Global Solar 3 Campeche</t>
  </si>
  <si>
    <t>El Carmen</t>
  </si>
  <si>
    <t>Campeche</t>
  </si>
  <si>
    <t>125 MW + 30.00% BESS</t>
  </si>
  <si>
    <t>Sol de Sonora 70</t>
  </si>
  <si>
    <t>Hermosillo</t>
  </si>
  <si>
    <t>Sonora</t>
  </si>
  <si>
    <t>70 MW + 31.43% BESS</t>
  </si>
  <si>
    <t>Delaro (*)</t>
  </si>
  <si>
    <t>Reynosa</t>
  </si>
  <si>
    <t>Eólico</t>
  </si>
  <si>
    <t>Los Molinos</t>
  </si>
  <si>
    <t>Matamoros</t>
  </si>
  <si>
    <t>171 MW + 30% BESS</t>
  </si>
  <si>
    <t xml:space="preserve">Energías Renovables De México Tres (Hecelchakan) </t>
  </si>
  <si>
    <t>Hecelchakán</t>
  </si>
  <si>
    <t>72 MW + 30% BESS</t>
  </si>
  <si>
    <t>Planta Solar Cerro Colorado</t>
  </si>
  <si>
    <t>Sayula de Alemán</t>
  </si>
  <si>
    <t>PV Moquel Solar</t>
  </si>
  <si>
    <t>Champotón</t>
  </si>
  <si>
    <t>75 MW + 34.08% BESS</t>
  </si>
  <si>
    <t>PV Sandom Solar</t>
  </si>
  <si>
    <t>Hopelchen</t>
  </si>
  <si>
    <t>54 MW + 34.08% BESS</t>
  </si>
  <si>
    <t>Código de colores
(CELDAS)</t>
  </si>
  <si>
    <t>Manifestación de Impacto Ambientyal (pondera 20%)</t>
  </si>
  <si>
    <t>Código de colores
(Grupo)</t>
  </si>
  <si>
    <t>COMISIÓN FEDERAL DE ELECTRICIDAD</t>
  </si>
  <si>
    <t>COORDINACIÓN DE PROYECTOS DE ENERGÍAS LIMPIAS</t>
  </si>
  <si>
    <t>GERENCIA DE CONSTRUCCIÓN</t>
  </si>
  <si>
    <t>No.</t>
  </si>
  <si>
    <t>Ubicación</t>
  </si>
  <si>
    <t>Tecnología</t>
  </si>
  <si>
    <t>Fecha de Incio de invesión</t>
  </si>
  <si>
    <t>Derechos Inmobiliarios</t>
  </si>
  <si>
    <t>Estudios de interconexión</t>
  </si>
  <si>
    <t>Ambientales</t>
  </si>
  <si>
    <t>Social</t>
  </si>
  <si>
    <t>Dependencias</t>
  </si>
  <si>
    <t>Avance Tratimtes Parque</t>
  </si>
  <si>
    <t>Avance Tramites Línea</t>
  </si>
  <si>
    <t>Avance Trámites Proyecto</t>
  </si>
  <si>
    <t>MIA - DTU</t>
  </si>
  <si>
    <t>MISSE (EvIS)</t>
  </si>
  <si>
    <t>Viento de Bella Unión</t>
  </si>
  <si>
    <t>Arteaga</t>
  </si>
  <si>
    <t>120 MW + 34.08% BESS</t>
  </si>
  <si>
    <t>Dalia 3 (Castamay)</t>
  </si>
  <si>
    <t>100 MW + 30% BESS</t>
  </si>
  <si>
    <t>Fresnillo (PV Atocha)</t>
  </si>
  <si>
    <t>Fresnillo</t>
  </si>
  <si>
    <t>Cimarrón Solar (**)</t>
  </si>
  <si>
    <t>300 MW + 30% BESS</t>
  </si>
  <si>
    <t>La Poza Solar (**)</t>
  </si>
  <si>
    <t>Sunora (**)</t>
  </si>
  <si>
    <t>Energía Limpia el Mezquite</t>
  </si>
  <si>
    <t>Mina</t>
  </si>
  <si>
    <t>Energías Renovables Saas (Peto)</t>
  </si>
  <si>
    <t>Peto</t>
  </si>
  <si>
    <t>Yucatán</t>
  </si>
  <si>
    <t xml:space="preserve">Energías Renovables Kiin (Tekax) </t>
  </si>
  <si>
    <t>Tekax</t>
  </si>
  <si>
    <t>56 MW + 30% BESS</t>
  </si>
  <si>
    <t>El Palmar</t>
  </si>
  <si>
    <t>Los Cabos</t>
  </si>
  <si>
    <t>120 MW + 30% BESS</t>
  </si>
  <si>
    <t>La Pasión</t>
  </si>
  <si>
    <t>66 MW + 30% BESS</t>
  </si>
  <si>
    <t>Tikinmul</t>
  </si>
  <si>
    <t>170 MW + 30% BESS</t>
  </si>
  <si>
    <t>Haab Kiin</t>
  </si>
  <si>
    <t>Úman</t>
  </si>
  <si>
    <t>123.2 MW + 30% BESS</t>
  </si>
  <si>
    <t>La Noria</t>
  </si>
  <si>
    <t>Villa Unión</t>
  </si>
  <si>
    <t>301.5 MW + 30% BESS</t>
  </si>
  <si>
    <t>Solitario</t>
  </si>
  <si>
    <t>San Luis Río Colorado</t>
  </si>
  <si>
    <t>200 MW + 32.5% BESS</t>
  </si>
  <si>
    <t>CFV Las Garzas (**)</t>
  </si>
  <si>
    <t>Lerdo</t>
  </si>
  <si>
    <t>270 MW + 30% BESS</t>
  </si>
  <si>
    <t>Los Girasoles</t>
  </si>
  <si>
    <t>José María Morelos</t>
  </si>
  <si>
    <t>110 MW + 30% BESS</t>
  </si>
  <si>
    <t>Tres Hermanos</t>
  </si>
  <si>
    <t>75 MW + 30% BESS</t>
  </si>
  <si>
    <t>CFV Quasara</t>
  </si>
  <si>
    <t>Mexicali</t>
  </si>
  <si>
    <t>150 MW + 30% BESS</t>
  </si>
  <si>
    <t>Sierra Madre (El Chorro) (*)</t>
  </si>
  <si>
    <t>580 MW + 30% BESS</t>
  </si>
  <si>
    <t>El Guajillo</t>
  </si>
  <si>
    <t>Montecristo</t>
  </si>
  <si>
    <t>Méndez</t>
  </si>
  <si>
    <t>510 MW + 30% BESS</t>
  </si>
  <si>
    <t>Santa Gertrudis</t>
  </si>
  <si>
    <t>503 MW + 30% BESS</t>
  </si>
  <si>
    <t>Ponderan</t>
  </si>
  <si>
    <t>Pondera</t>
  </si>
  <si>
    <t>Indica Proyecto que se va a segunda ronda de Proyectos Mixtos</t>
  </si>
  <si>
    <t>Indica Proyecto que no puede ser ingresado al SEN sin que entren obras de refuerzo que no son responsabilidad del Proyecto, es decir, por un tercero; según CENACE</t>
  </si>
  <si>
    <t>NO.</t>
  </si>
  <si>
    <t>TÍTULO 2</t>
  </si>
  <si>
    <t>Almacenamiento (BESS)</t>
  </si>
  <si>
    <t>Horas de Almacenamiento</t>
  </si>
  <si>
    <t>Fin de Construcción</t>
  </si>
  <si>
    <t>Fecha firma de contrato</t>
  </si>
  <si>
    <t>CAPEX</t>
  </si>
  <si>
    <t>INVERSIONISTA</t>
  </si>
  <si>
    <t>MWh (3 HRS)</t>
  </si>
  <si>
    <t>CAPEX /
MW</t>
  </si>
  <si>
    <t>CAPEX /
MWh (BESS)</t>
  </si>
  <si>
    <t>Capacidad (MW)</t>
  </si>
  <si>
    <t>Almacenamiento(BESS)</t>
  </si>
  <si>
    <t>ESTADO</t>
  </si>
  <si>
    <t>MUNICIPIO</t>
  </si>
  <si>
    <t>SAN SIMÓN SOLAR</t>
  </si>
  <si>
    <t>Fisterra</t>
  </si>
  <si>
    <t>San Quintín, Baja California</t>
  </si>
  <si>
    <t>80 MW</t>
  </si>
  <si>
    <t>24 MW / 85.255 MWh</t>
  </si>
  <si>
    <t>FEM ENERGY XIV, S. DE R.L. DE C.V.</t>
  </si>
  <si>
    <t xml:space="preserve"> Baja California</t>
  </si>
  <si>
    <t>San Quintín</t>
  </si>
  <si>
    <t>PROYECTO EÓLICO REGIÓN NORESTE (LA NORIA)</t>
  </si>
  <si>
    <t>Grupo Pantera</t>
  </si>
  <si>
    <t>Villa Unión, Coahuila</t>
  </si>
  <si>
    <t>301.5 MW</t>
  </si>
  <si>
    <t>90.5 MW / 271.4 MWh</t>
  </si>
  <si>
    <t>PANT3RA INFRAESTRUCTURA I, S.A. DE C.V.</t>
  </si>
  <si>
    <t xml:space="preserve"> Coahuila</t>
  </si>
  <si>
    <t>SOLITARIO</t>
  </si>
  <si>
    <t>San Luis Río Colorado, Sonora</t>
  </si>
  <si>
    <t>200 MW</t>
  </si>
  <si>
    <t>65 MW / 217 MWh</t>
  </si>
  <si>
    <t xml:space="preserve"> Sonora</t>
  </si>
  <si>
    <t>ÁLVARO OBREGÓN</t>
  </si>
  <si>
    <t>Grupo ZML</t>
  </si>
  <si>
    <t>La Paz, Baja California Sur</t>
  </si>
  <si>
    <t>90 MW</t>
  </si>
  <si>
    <t>90 MW / 360 MWh</t>
  </si>
  <si>
    <t>ZML PROMOTORES ENERGÉTICOS MX, S.A.P.I. DE C.V.</t>
  </si>
  <si>
    <t xml:space="preserve"> Baja California Sur</t>
  </si>
  <si>
    <t>PV SANDOM SOLAR</t>
  </si>
  <si>
    <t>Actis</t>
  </si>
  <si>
    <t>Hopelchén, Campeche</t>
  </si>
  <si>
    <t>54 MW</t>
  </si>
  <si>
    <t>18.4 MW / 55.2 MWh</t>
  </si>
  <si>
    <t>TRANSACTION SPEED SPV, S.A. DE C.V.</t>
  </si>
  <si>
    <t xml:space="preserve"> Campeche</t>
  </si>
  <si>
    <t>Hopelchén</t>
  </si>
  <si>
    <t>SANTA GERTRUDIS</t>
  </si>
  <si>
    <t>Thermion</t>
  </si>
  <si>
    <t>Méndez, Tamaulipas</t>
  </si>
  <si>
    <t>503 MW</t>
  </si>
  <si>
    <t>151 MW / 453 MWh</t>
  </si>
  <si>
    <t>THERMION ENERGY, S.A. DE C.V.</t>
  </si>
  <si>
    <t xml:space="preserve"> Tamaulipas</t>
  </si>
  <si>
    <t>EL GUAJILLO</t>
  </si>
  <si>
    <t>Reynosa, Tamaulipas</t>
  </si>
  <si>
    <t>468 MW</t>
  </si>
  <si>
    <t>140.4 MW / 421.2 MWh</t>
  </si>
  <si>
    <t>SOLAR ENERGÍA TRES HERMANOS</t>
  </si>
  <si>
    <t>Polaris</t>
  </si>
  <si>
    <t xml:space="preserve">Huamantla / Xaloztoc, Tlaxcala </t>
  </si>
  <si>
    <t>75 MW</t>
  </si>
  <si>
    <t>22.5 MW / 71.6 MWh</t>
  </si>
  <si>
    <t>NEBULA INNOVATIONS 1939, S. DE R.L. DE C.V.</t>
  </si>
  <si>
    <t xml:space="preserve"> Tlaxcala </t>
  </si>
  <si>
    <t>Huamantla / Xaloztoc</t>
  </si>
  <si>
    <t>LOS GIRASOLES</t>
  </si>
  <si>
    <t>José María Morelos, Quintana Roo</t>
  </si>
  <si>
    <t>110 MW</t>
  </si>
  <si>
    <t>33 MW / 101.5 MWh</t>
  </si>
  <si>
    <t xml:space="preserve"> Quintana Roo</t>
  </si>
  <si>
    <t>DON HUMBERTO</t>
  </si>
  <si>
    <t>Culiacán, Sinaloa</t>
  </si>
  <si>
    <t>19.2 MW</t>
  </si>
  <si>
    <t>6.1 MW / 18.9 MWh</t>
  </si>
  <si>
    <t xml:space="preserve"> Sinaloa</t>
  </si>
  <si>
    <t>PLANTA SOLAR HAAB KIIN</t>
  </si>
  <si>
    <t>Umán, Yucatán</t>
  </si>
  <si>
    <t>123.2 MW</t>
  </si>
  <si>
    <t>36.96 MW / 135.41 MWh</t>
  </si>
  <si>
    <t>FEM ENERGY X, S. DE R.L. DE C.V.</t>
  </si>
  <si>
    <t xml:space="preserve"> Yucatán</t>
  </si>
  <si>
    <t>Umán</t>
  </si>
  <si>
    <t>PLANTA SOLAR CERRO COLORADO</t>
  </si>
  <si>
    <t>Sayula de Alemán, Veracruz</t>
  </si>
  <si>
    <t>455.68 MW</t>
  </si>
  <si>
    <t>136.7 MW / 496.5 MWh</t>
  </si>
  <si>
    <t>FEM ENERGY XII, S. DE R.L. DE C.V.</t>
  </si>
  <si>
    <t xml:space="preserve"> Veracruz</t>
  </si>
  <si>
    <t>CENTRAL FOTOVOLTAICA QUASARA</t>
  </si>
  <si>
    <t>SuKarne</t>
  </si>
  <si>
    <t>Mexicali, Baja California</t>
  </si>
  <si>
    <t>150 MW</t>
  </si>
  <si>
    <t>45 MW / 135 MWh</t>
  </si>
  <si>
    <t>ENERGÍA FAMILIAR S.A. DE C.V.</t>
  </si>
  <si>
    <t>TIKINMUL</t>
  </si>
  <si>
    <t>Eléctrica Aselco</t>
  </si>
  <si>
    <t>Tikinmul, Campeche</t>
  </si>
  <si>
    <t>170 MW</t>
  </si>
  <si>
    <t>51 MW / 153 MWh</t>
  </si>
  <si>
    <t>ELÉCTRICA ASELCO, S.A. DE C.V.</t>
  </si>
  <si>
    <t>EL PALMAR</t>
  </si>
  <si>
    <t>Los Cabos, Baja California Sur</t>
  </si>
  <si>
    <t>120 MW</t>
  </si>
  <si>
    <t>36 MW / 108 MWh</t>
  </si>
  <si>
    <t>LA PASIÓN</t>
  </si>
  <si>
    <t>66 MW</t>
  </si>
  <si>
    <t>19.8 MW / 59.4 MWh</t>
  </si>
  <si>
    <t>SAN PEDRO SOLAR</t>
  </si>
  <si>
    <t>Elawan Wind Mexico III</t>
  </si>
  <si>
    <t>Huimalpan, Querétaro</t>
  </si>
  <si>
    <t>98.2 MW</t>
  </si>
  <si>
    <t>29.46 MW / 88.38 MWh</t>
  </si>
  <si>
    <t>ELAWAN ENERGY MÉXICO, S.A. DE C.V.</t>
  </si>
  <si>
    <t xml:space="preserve"> Querétaro</t>
  </si>
  <si>
    <t>Huimalpan</t>
  </si>
  <si>
    <t>ENERGÍA LIMPIA EL MEZQUITE</t>
  </si>
  <si>
    <t>Cúbico</t>
  </si>
  <si>
    <t>Mina, Nuevo León</t>
  </si>
  <si>
    <t>300 MW</t>
  </si>
  <si>
    <t>90 MW / 270 MWh</t>
  </si>
  <si>
    <t>CUBICO MÉXICO, S. DE R.L. DE C.V.</t>
  </si>
  <si>
    <t xml:space="preserve"> Nuevo León</t>
  </si>
  <si>
    <t>PARQUE FV ENERGÍAS RENOVABLES DE MÉXICO TRES</t>
  </si>
  <si>
    <t>Hecelchakán, Campeche</t>
  </si>
  <si>
    <t>72 MW</t>
  </si>
  <si>
    <t>21.6 MW / 64.8 MWh</t>
  </si>
  <si>
    <t>PARQUE FV ENERGÍAS RENOVABLES SAAS (PETO)</t>
  </si>
  <si>
    <t>Peto, Yucatán</t>
  </si>
  <si>
    <t>PARQUE FV ENERGÍAS RENOVABLES KIIN (TEKAX)</t>
  </si>
  <si>
    <t>Tekax, Yucatán</t>
  </si>
  <si>
    <t>56 MW</t>
  </si>
  <si>
    <t>16.8 MW / 50.4 MWh</t>
  </si>
  <si>
    <t>PARQUE FV ENERGÍAS RENOVABLES DE TAMAULIPAS</t>
  </si>
  <si>
    <t>Altamira, Tamaulipas</t>
  </si>
  <si>
    <t>78 MW</t>
  </si>
  <si>
    <t>25.69 MW / 82.22 MWh</t>
  </si>
  <si>
    <t>VIENTO DE BELLA UNIÓN</t>
  </si>
  <si>
    <t>Arteaga, Coahuila</t>
  </si>
  <si>
    <t>40.9 MW / 122.7 MWh</t>
  </si>
  <si>
    <t xml:space="preserve">CONTROLADORA MÉXICO LAGUNA, S.A. DE C.V. </t>
  </si>
  <si>
    <t>DALIA 3 PV (CASTAMAY)</t>
  </si>
  <si>
    <t>Atlántica</t>
  </si>
  <si>
    <t>Castamay, Campeche</t>
  </si>
  <si>
    <t>100 MW</t>
  </si>
  <si>
    <t>30 MW / 90 MWh</t>
  </si>
  <si>
    <t>ATLANTICA RENEWABLE POWER MÉXICO, S. DE R.L. DE C.V.</t>
  </si>
  <si>
    <t>Castamay</t>
  </si>
  <si>
    <t>FRESNILLO (PV ATOCHA)</t>
  </si>
  <si>
    <t>Fresnillo, Zacatecas</t>
  </si>
  <si>
    <t xml:space="preserve"> Zacatecas</t>
  </si>
  <si>
    <t>ENERGEO LOS MOLINOS</t>
  </si>
  <si>
    <t>Matamoros, Tamaulipas</t>
  </si>
  <si>
    <t>171 MW</t>
  </si>
  <si>
    <t>51.3 MW / 153.9 MWh</t>
  </si>
  <si>
    <t>ADMINISTRADORA THERMION, S.A. DE C.V.</t>
  </si>
  <si>
    <t>MONTECRISTO</t>
  </si>
  <si>
    <t>510 MW</t>
  </si>
  <si>
    <t>153 MW / 459 MWh</t>
  </si>
  <si>
    <t>SOL DE SONORA - 70</t>
  </si>
  <si>
    <t>Hermosillo, Sonora</t>
  </si>
  <si>
    <t>70 MW</t>
  </si>
  <si>
    <t>22 MW / 66 MWh</t>
  </si>
  <si>
    <t>PV MOQUEL SOLAR</t>
  </si>
  <si>
    <t>Champotón, Campeche</t>
  </si>
  <si>
    <t>25.6 MW / 76.7 MWh</t>
  </si>
  <si>
    <t>IDEAL EXECUTION SPV, S.A. DE C.V.</t>
  </si>
  <si>
    <t>SELKA POWER PLANT I</t>
  </si>
  <si>
    <t>Selka Power</t>
  </si>
  <si>
    <t>Romita, Guanajuato</t>
  </si>
  <si>
    <t>141.4 MW</t>
  </si>
  <si>
    <t>42.42 MW / 127.26 MWh</t>
  </si>
  <si>
    <t>SELKA KAPITAL, S.A.P.I. DE C.V. &amp; ENERCLIMA, S. DE R.L. DE C.V.</t>
  </si>
  <si>
    <t xml:space="preserve"> Guanajuato</t>
  </si>
  <si>
    <t>CONCEPCIÓN MENDIZÁBAL MENDOZA FASE I</t>
  </si>
  <si>
    <t>Atlas Renewable Energy</t>
  </si>
  <si>
    <t>Nava, Coahuila</t>
  </si>
  <si>
    <t>339 MW</t>
  </si>
  <si>
    <t>101.7 MW / 305.1 MWh</t>
  </si>
  <si>
    <t>SIN DATO</t>
  </si>
  <si>
    <t>CONCEPCIÓN MENDIZÁBAL MENDOZA FASE II</t>
  </si>
  <si>
    <t>180 MW</t>
  </si>
  <si>
    <t>54 MW / 162 MWh</t>
  </si>
  <si>
    <t>CONCEPCIÓN MENDIZÁBAL MENDOZA FASE III</t>
  </si>
  <si>
    <t>GLOBAL SOLAR 3 CAMPECHE</t>
  </si>
  <si>
    <t>Alten</t>
  </si>
  <si>
    <t>El Carmen, Campeche</t>
  </si>
  <si>
    <t>125 MW</t>
  </si>
  <si>
    <t>37.5 MW / 112.5 MWh</t>
  </si>
  <si>
    <t>CFV LAS GARZAS</t>
  </si>
  <si>
    <t>MIP Freeman Energy</t>
  </si>
  <si>
    <t>Lerdo, Durango</t>
  </si>
  <si>
    <t>270 MW</t>
  </si>
  <si>
    <t>81 MW / 243 MWh (POR CONFIRMAR</t>
  </si>
  <si>
    <t>3.00 (POR CONFIRMAR)</t>
  </si>
  <si>
    <t xml:space="preserve"> Durango</t>
  </si>
  <si>
    <t>CIMARRÓN SOLAR</t>
  </si>
  <si>
    <t>CSQB Energy</t>
  </si>
  <si>
    <t>90 MW / 270 MWh (POR CONFIRMAR)</t>
  </si>
  <si>
    <t>SUNORA</t>
  </si>
  <si>
    <t>LA POZA SOLAR</t>
  </si>
  <si>
    <t>SIERRA MADRE [EL CHORRO] (2DA RONDA)</t>
  </si>
  <si>
    <t>Villa de Casas y Güemes, Tamaulipas</t>
  </si>
  <si>
    <t>580 MW (POR CONFIRMAR)</t>
  </si>
  <si>
    <t>174 MW / 522 MWh (POR CONFIRMAR)</t>
  </si>
  <si>
    <t>Villa de Casas y Güemes</t>
  </si>
  <si>
    <t>DELARO (2DA RONDA)</t>
  </si>
  <si>
    <t>117 MW (POR CONFIRMAR)</t>
  </si>
  <si>
    <t>TOTAL GLOBAL</t>
  </si>
  <si>
    <t>TOTAL (FV)</t>
  </si>
  <si>
    <t>TOTAL (EO)</t>
  </si>
  <si>
    <t>6 PROYECTOS</t>
  </si>
  <si>
    <t>PROMEDIO TOTAL</t>
  </si>
  <si>
    <t>PROMEDIO (FV)</t>
  </si>
  <si>
    <t>PROMEDIO(EO)</t>
  </si>
  <si>
    <t>PROMEDIO TOTAL (CAPEX/MW)</t>
  </si>
  <si>
    <t>PROMEDIO (FV)  (CAPEX/MW)</t>
  </si>
  <si>
    <t>PROMEDIO(EO)  (CAPEX/MW)</t>
  </si>
  <si>
    <t>35.1 MW / 105.3 MWh (POR CONFIRMAR)</t>
  </si>
  <si>
    <t>Inicio de Inversión</t>
  </si>
  <si>
    <t>Enhol &amp; GEMEX [Terralia]</t>
  </si>
  <si>
    <t>CAZADERO SOLAR, S. DE R.L. DE C.V.</t>
  </si>
  <si>
    <t>ABE1 EPC MÉXICO, S.A. DE C.V.</t>
  </si>
  <si>
    <t>26 PROYECTOS</t>
  </si>
  <si>
    <t>32 PROYECTOS</t>
  </si>
  <si>
    <t>Rev 3</t>
  </si>
  <si>
    <r>
      <t>Celdas en color verde claro:</t>
    </r>
    <r>
      <rPr>
        <sz val="9"/>
        <rFont val="Aptos Narrow"/>
        <family val="2"/>
      </rPr>
      <t xml:space="preserve"> N/A y Liberado = listo a un 100 %</t>
    </r>
  </si>
  <si>
    <t>En elaboración</t>
  </si>
  <si>
    <t>En actualización</t>
  </si>
  <si>
    <r>
      <t xml:space="preserve">Celdas color rojo: </t>
    </r>
    <r>
      <rPr>
        <sz val="9"/>
        <rFont val="Aptos Narrow"/>
        <family val="2"/>
      </rPr>
      <t>En elaboración por parte del socio</t>
    </r>
  </si>
  <si>
    <t>En evaluación</t>
  </si>
  <si>
    <r>
      <t xml:space="preserve">Celdas amarillas: </t>
    </r>
    <r>
      <rPr>
        <sz val="9"/>
        <rFont val="Aptos Narrow"/>
        <family val="2"/>
      </rPr>
      <t xml:space="preserve"> En evaluación, en espera de respuesta por la autoridad</t>
    </r>
  </si>
  <si>
    <t>MIA / DTU</t>
  </si>
  <si>
    <t>MISSE / EVIS</t>
  </si>
  <si>
    <r>
      <t xml:space="preserve">Celdas azules: </t>
    </r>
    <r>
      <rPr>
        <sz val="9"/>
        <rFont val="Aptos Narrow"/>
        <family val="2"/>
      </rPr>
      <t>En actualización, trámiteque ingresó el socio en donde la autoridad pide información adicional o precisiones y/o actualizaciones por cambios del socio</t>
    </r>
  </si>
  <si>
    <t>117 MW + 30% BESS</t>
  </si>
  <si>
    <t>468 MW + 30% BESS</t>
  </si>
  <si>
    <t>TÍTULO 1</t>
  </si>
  <si>
    <t>PRIORI</t>
  </si>
  <si>
    <t>name_BD</t>
  </si>
  <si>
    <t>DI_P</t>
  </si>
  <si>
    <t>DI_LT</t>
  </si>
  <si>
    <t>ES_INT</t>
  </si>
  <si>
    <t>A_MIA_P</t>
  </si>
  <si>
    <t>A_MIA_LT</t>
  </si>
  <si>
    <t>A_ETJ_P</t>
  </si>
  <si>
    <t>A_ETJ_LT</t>
  </si>
  <si>
    <t>S_MISSE_C</t>
  </si>
  <si>
    <t>S_MISSE_LT</t>
  </si>
  <si>
    <t>S_CONS</t>
  </si>
  <si>
    <t>INAH_C</t>
  </si>
  <si>
    <t>INAH_LT</t>
  </si>
  <si>
    <t>PEMEX_C</t>
  </si>
  <si>
    <t>PEMEX_LT</t>
  </si>
  <si>
    <t>CONA_C</t>
  </si>
  <si>
    <t>CONA_LT</t>
  </si>
  <si>
    <t>AFAC_C</t>
  </si>
  <si>
    <t>AFAC_LT</t>
  </si>
  <si>
    <t>P</t>
  </si>
  <si>
    <t>NoP</t>
  </si>
  <si>
    <t>VER FASE II</t>
  </si>
  <si>
    <t>BESS TEÓRICO (%)</t>
  </si>
  <si>
    <t>BESS TEÓRICO (MW)</t>
  </si>
  <si>
    <t>BESS REAL (%)</t>
  </si>
  <si>
    <t>BESS REAL (MW)</t>
  </si>
  <si>
    <t>NO._HA</t>
  </si>
  <si>
    <t>455.68 MW + 30% BESS</t>
  </si>
  <si>
    <r>
      <t xml:space="preserve">Celdas grises: </t>
    </r>
    <r>
      <rPr>
        <sz val="9"/>
        <rFont val="Aptos Narrow"/>
        <family val="2"/>
      </rPr>
      <t xml:space="preserve"> Iniciada, Consulta Iniciada por parte de SENER</t>
    </r>
  </si>
  <si>
    <r>
      <t xml:space="preserve">Celdas naranjas: </t>
    </r>
    <r>
      <rPr>
        <sz val="9"/>
        <rFont val="Aptos Narrow"/>
        <family val="2"/>
      </rPr>
      <t>Concluida,</t>
    </r>
    <r>
      <rPr>
        <b/>
        <sz val="9"/>
        <rFont val="Aptos Narrow"/>
        <family val="2"/>
      </rPr>
      <t xml:space="preserve"> </t>
    </r>
    <r>
      <rPr>
        <sz val="9"/>
        <rFont val="Aptos Narrow"/>
        <family val="2"/>
      </rPr>
      <t>Consulta concluida por parte de SENER, en espera de liberación</t>
    </r>
  </si>
  <si>
    <t>Iniciada</t>
  </si>
  <si>
    <t>Fotovoltaica</t>
  </si>
  <si>
    <t>Eólica</t>
  </si>
  <si>
    <t>Capacidad Total Contrato (MW + %BESS)</t>
  </si>
  <si>
    <t>DI_P_ESTATUS</t>
  </si>
  <si>
    <t>DI_LT_ESTATUS</t>
  </si>
  <si>
    <t>ES_INT_ESTATUS</t>
  </si>
  <si>
    <t>A_MIA_P_ESTATUS</t>
  </si>
  <si>
    <t>A_MIA_LT_ESTATUS</t>
  </si>
  <si>
    <t>A_ETJ_P_ESTATUS</t>
  </si>
  <si>
    <t>A_ETJ_LT_ESTATUS</t>
  </si>
  <si>
    <t>S_MISSE_C_ESTATUS</t>
  </si>
  <si>
    <t>S_MISSE_LT_ESTATUS</t>
  </si>
  <si>
    <t>S_CONS_ESTATUS</t>
  </si>
  <si>
    <t>INAH_C_ESTATUS</t>
  </si>
  <si>
    <t>INAH_LT_ESTATUS</t>
  </si>
  <si>
    <t>PEMEX_C_ESTATUS</t>
  </si>
  <si>
    <t>PEMEX_LT_ESTATUS</t>
  </si>
  <si>
    <t>CONA_C_ESTATUS</t>
  </si>
  <si>
    <t>CONA_LT_ESTATUS</t>
  </si>
  <si>
    <t>AFAC_C_ESTATUS</t>
  </si>
  <si>
    <t>AFAC_LT_ESTATUS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</si>
</sst>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[$-80A]dd&quot; de &quot;mmmm&quot; de &quot;yyyy;@"/>
    <numFmt numFmtId="165" formatCode="0.000"/>
    <numFmt numFmtId="167" formatCode="dd/mm/yyyy;@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ptos Narrow"/>
      <family val="2"/>
    </font>
    <font>
      <sz val="10"/>
      <name val="Aptos Narrow"/>
      <family val="2"/>
    </font>
    <font>
      <b/>
      <sz val="9"/>
      <name val="Aptos Narrow"/>
      <family val="2"/>
    </font>
    <font>
      <b/>
      <sz val="16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2"/>
      <color theme="1"/>
      <name val="Arial"/>
      <family val="2"/>
    </font>
    <font>
      <b/>
      <i/>
      <sz val="14"/>
      <color theme="1"/>
      <name val="Arial"/>
      <family val="2"/>
    </font>
    <font>
      <b/>
      <sz val="12"/>
      <color theme="0"/>
      <name val="Aptos Narrow"/>
      <family val="2"/>
    </font>
    <font>
      <sz val="10"/>
      <color theme="0"/>
      <name val="Arial"/>
      <family val="2"/>
    </font>
    <font>
      <b/>
      <sz val="10"/>
      <color theme="0"/>
      <name val="Aptos Narrow"/>
      <family val="2"/>
    </font>
    <font>
      <sz val="7"/>
      <name val="Aptos Narrow"/>
      <family val="2"/>
    </font>
    <font>
      <b/>
      <sz val="8"/>
      <name val="Aptos Narrow"/>
      <family val="2"/>
    </font>
    <font>
      <sz val="9"/>
      <name val="Aptos Narrow"/>
      <family val="2"/>
    </font>
    <font>
      <b/>
      <sz val="9"/>
      <color theme="0"/>
      <name val="Aptos Narrow"/>
      <family val="2"/>
    </font>
    <font>
      <sz val="9"/>
      <color rgb="FFFF0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</borders>
  <cellStyleXfs count="8">
    <xf numFmtId="0" fontId="0" fillId="0" borderId="0"/>
    <xf numFmtId="0" fontId="9" fillId="0" borderId="0"/>
    <xf numFmtId="9" fontId="11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434">
    <xf numFmtId="0" fontId="0" fillId="0" borderId="0" xfId="0"/>
    <xf numFmtId="10" fontId="13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9" fontId="12" fillId="4" borderId="59" xfId="0" applyNumberFormat="1" applyFont="1" applyFill="1" applyBorder="1" applyAlignment="1">
      <alignment horizontal="center" vertical="center"/>
    </xf>
    <xf numFmtId="9" fontId="12" fillId="4" borderId="68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71" xfId="0" applyFont="1" applyBorder="1"/>
    <xf numFmtId="0" fontId="12" fillId="0" borderId="4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/>
    </xf>
    <xf numFmtId="0" fontId="12" fillId="0" borderId="45" xfId="0" applyFont="1" applyBorder="1" applyAlignment="1">
      <alignment horizontal="right" vertical="center"/>
    </xf>
    <xf numFmtId="0" fontId="13" fillId="0" borderId="45" xfId="0" applyFont="1" applyBorder="1" applyAlignment="1">
      <alignment vertical="center"/>
    </xf>
    <xf numFmtId="0" fontId="13" fillId="0" borderId="45" xfId="0" applyFont="1" applyBorder="1"/>
    <xf numFmtId="0" fontId="18" fillId="0" borderId="72" xfId="0" applyFont="1" applyBorder="1" applyAlignment="1">
      <alignment horizontal="right" vertical="center"/>
    </xf>
    <xf numFmtId="0" fontId="12" fillId="0" borderId="73" xfId="0" applyFont="1" applyBorder="1"/>
    <xf numFmtId="0" fontId="17" fillId="0" borderId="74" xfId="0" applyFont="1" applyBorder="1" applyAlignment="1">
      <alignment horizontal="right" vertical="center"/>
    </xf>
    <xf numFmtId="0" fontId="16" fillId="0" borderId="74" xfId="0" applyFont="1" applyBorder="1" applyAlignment="1">
      <alignment horizontal="right" vertical="center"/>
    </xf>
    <xf numFmtId="0" fontId="13" fillId="0" borderId="75" xfId="0" applyFont="1" applyBorder="1"/>
    <xf numFmtId="0" fontId="13" fillId="0" borderId="46" xfId="0" applyFont="1" applyBorder="1" applyAlignment="1">
      <alignment horizontal="center"/>
    </xf>
    <xf numFmtId="0" fontId="13" fillId="0" borderId="46" xfId="0" applyFont="1" applyBorder="1"/>
    <xf numFmtId="9" fontId="12" fillId="5" borderId="53" xfId="0" applyNumberFormat="1" applyFont="1" applyFill="1" applyBorder="1" applyAlignment="1">
      <alignment horizontal="center" vertical="center"/>
    </xf>
    <xf numFmtId="9" fontId="12" fillId="5" borderId="59" xfId="0" applyNumberFormat="1" applyFont="1" applyFill="1" applyBorder="1" applyAlignment="1">
      <alignment horizontal="center" vertical="center"/>
    </xf>
    <xf numFmtId="0" fontId="12" fillId="0" borderId="0" xfId="0" applyFont="1"/>
    <xf numFmtId="0" fontId="22" fillId="0" borderId="0" xfId="0" applyFont="1"/>
    <xf numFmtId="0" fontId="13" fillId="0" borderId="71" xfId="0" applyFont="1" applyBorder="1" applyAlignment="1">
      <alignment horizontal="center"/>
    </xf>
    <xf numFmtId="0" fontId="13" fillId="0" borderId="73" xfId="0" applyFont="1" applyBorder="1" applyAlignment="1">
      <alignment horizontal="center"/>
    </xf>
    <xf numFmtId="0" fontId="13" fillId="0" borderId="75" xfId="0" applyFont="1" applyBorder="1" applyAlignment="1">
      <alignment horizontal="center"/>
    </xf>
    <xf numFmtId="0" fontId="13" fillId="0" borderId="72" xfId="0" applyFont="1" applyBorder="1"/>
    <xf numFmtId="0" fontId="13" fillId="0" borderId="74" xfId="0" applyFont="1" applyBorder="1"/>
    <xf numFmtId="0" fontId="13" fillId="0" borderId="60" xfId="0" applyFont="1" applyBorder="1"/>
    <xf numFmtId="0" fontId="23" fillId="0" borderId="29" xfId="0" applyFont="1" applyBorder="1" applyAlignment="1">
      <alignment horizontal="right"/>
    </xf>
    <xf numFmtId="0" fontId="23" fillId="0" borderId="31" xfId="0" applyFont="1" applyBorder="1" applyAlignment="1">
      <alignment horizontal="right"/>
    </xf>
    <xf numFmtId="0" fontId="13" fillId="0" borderId="46" xfId="0" applyFont="1" applyBorder="1" applyAlignment="1">
      <alignment vertical="center"/>
    </xf>
    <xf numFmtId="10" fontId="21" fillId="6" borderId="26" xfId="2" applyNumberFormat="1" applyFont="1" applyFill="1" applyBorder="1" applyAlignment="1">
      <alignment horizontal="center" vertical="center"/>
    </xf>
    <xf numFmtId="10" fontId="21" fillId="6" borderId="48" xfId="2" applyNumberFormat="1" applyFont="1" applyFill="1" applyBorder="1" applyAlignment="1">
      <alignment horizontal="center" vertical="center"/>
    </xf>
    <xf numFmtId="10" fontId="21" fillId="6" borderId="59" xfId="0" applyNumberFormat="1" applyFont="1" applyFill="1" applyBorder="1" applyAlignment="1">
      <alignment horizontal="center" vertical="center"/>
    </xf>
    <xf numFmtId="15" fontId="23" fillId="0" borderId="31" xfId="0" applyNumberFormat="1" applyFont="1" applyBorder="1" applyAlignment="1">
      <alignment horizontal="right"/>
    </xf>
    <xf numFmtId="0" fontId="19" fillId="6" borderId="81" xfId="0" applyFont="1" applyFill="1" applyBorder="1"/>
    <xf numFmtId="10" fontId="14" fillId="0" borderId="19" xfId="0" applyNumberFormat="1" applyFont="1" applyBorder="1" applyAlignment="1">
      <alignment horizontal="center" vertical="center"/>
    </xf>
    <xf numFmtId="10" fontId="14" fillId="0" borderId="70" xfId="0" applyNumberFormat="1" applyFont="1" applyBorder="1" applyAlignment="1">
      <alignment horizontal="center" vertical="center"/>
    </xf>
    <xf numFmtId="10" fontId="14" fillId="0" borderId="37" xfId="0" applyNumberFormat="1" applyFont="1" applyBorder="1" applyAlignment="1">
      <alignment horizontal="center" vertical="center"/>
    </xf>
    <xf numFmtId="10" fontId="14" fillId="0" borderId="17" xfId="0" applyNumberFormat="1" applyFont="1" applyBorder="1" applyAlignment="1">
      <alignment horizontal="center" vertical="center"/>
    </xf>
    <xf numFmtId="10" fontId="14" fillId="0" borderId="76" xfId="0" applyNumberFormat="1" applyFont="1" applyBorder="1" applyAlignment="1">
      <alignment horizontal="center" vertical="center"/>
    </xf>
    <xf numFmtId="10" fontId="14" fillId="0" borderId="33" xfId="0" applyNumberFormat="1" applyFont="1" applyBorder="1" applyAlignment="1">
      <alignment horizontal="center" vertical="center"/>
    </xf>
    <xf numFmtId="10" fontId="14" fillId="0" borderId="23" xfId="0" applyNumberFormat="1" applyFont="1" applyBorder="1" applyAlignment="1">
      <alignment horizontal="center" vertical="center"/>
    </xf>
    <xf numFmtId="10" fontId="14" fillId="0" borderId="77" xfId="0" applyNumberFormat="1" applyFont="1" applyBorder="1" applyAlignment="1">
      <alignment horizontal="center" vertical="center"/>
    </xf>
    <xf numFmtId="10" fontId="14" fillId="0" borderId="40" xfId="0" applyNumberFormat="1" applyFont="1" applyBorder="1" applyAlignment="1">
      <alignment horizontal="center" vertical="center"/>
    </xf>
    <xf numFmtId="10" fontId="1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24" fillId="0" borderId="89" xfId="0" applyFont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4" fillId="0" borderId="90" xfId="0" applyFont="1" applyBorder="1" applyAlignment="1">
      <alignment vertical="center"/>
    </xf>
    <xf numFmtId="0" fontId="24" fillId="0" borderId="85" xfId="0" applyFont="1" applyBorder="1"/>
    <xf numFmtId="0" fontId="24" fillId="0" borderId="86" xfId="0" applyFont="1" applyBorder="1"/>
    <xf numFmtId="0" fontId="24" fillId="0" borderId="84" xfId="0" applyFont="1" applyBorder="1" applyAlignment="1">
      <alignment vertical="center"/>
    </xf>
    <xf numFmtId="0" fontId="24" fillId="0" borderId="85" xfId="0" applyFont="1" applyBorder="1" applyAlignment="1">
      <alignment vertical="center"/>
    </xf>
    <xf numFmtId="10" fontId="21" fillId="6" borderId="81" xfId="0" applyNumberFormat="1" applyFont="1" applyFill="1" applyBorder="1" applyAlignment="1">
      <alignment horizontal="center" vertical="center"/>
    </xf>
    <xf numFmtId="10" fontId="21" fillId="6" borderId="91" xfId="0" applyNumberFormat="1" applyFont="1" applyFill="1" applyBorder="1" applyAlignment="1">
      <alignment horizontal="center" vertical="center"/>
    </xf>
    <xf numFmtId="10" fontId="21" fillId="6" borderId="83" xfId="0" applyNumberFormat="1" applyFont="1" applyFill="1" applyBorder="1" applyAlignment="1">
      <alignment horizontal="center" vertical="center"/>
    </xf>
    <xf numFmtId="0" fontId="21" fillId="6" borderId="87" xfId="0" applyFont="1" applyFill="1" applyBorder="1" applyAlignment="1">
      <alignment horizontal="right" vertical="center" wrapText="1"/>
    </xf>
    <xf numFmtId="0" fontId="24" fillId="0" borderId="89" xfId="0" applyFont="1" applyBorder="1" applyAlignment="1">
      <alignment vertical="center" wrapText="1"/>
    </xf>
    <xf numFmtId="0" fontId="21" fillId="6" borderId="79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14" fontId="24" fillId="0" borderId="95" xfId="0" applyNumberFormat="1" applyFont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14" fontId="24" fillId="0" borderId="96" xfId="0" applyNumberFormat="1" applyFont="1" applyBorder="1" applyAlignment="1">
      <alignment horizontal="center" vertical="center"/>
    </xf>
    <xf numFmtId="14" fontId="24" fillId="0" borderId="18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4" fillId="0" borderId="7" xfId="0" applyFont="1" applyBorder="1"/>
    <xf numFmtId="0" fontId="24" fillId="0" borderId="37" xfId="0" applyFont="1" applyBorder="1" applyAlignment="1">
      <alignment horizontal="center" vertical="center"/>
    </xf>
    <xf numFmtId="0" fontId="24" fillId="0" borderId="6" xfId="0" applyFont="1" applyBorder="1"/>
    <xf numFmtId="0" fontId="24" fillId="0" borderId="33" xfId="0" applyFont="1" applyBorder="1" applyAlignment="1">
      <alignment horizontal="center" vertical="center"/>
    </xf>
    <xf numFmtId="0" fontId="26" fillId="0" borderId="6" xfId="0" applyFont="1" applyBorder="1"/>
    <xf numFmtId="0" fontId="24" fillId="0" borderId="24" xfId="0" applyFont="1" applyBorder="1"/>
    <xf numFmtId="0" fontId="24" fillId="0" borderId="40" xfId="0" applyFont="1" applyBorder="1" applyAlignment="1">
      <alignment horizontal="center" vertical="center"/>
    </xf>
    <xf numFmtId="14" fontId="26" fillId="0" borderId="96" xfId="0" applyNumberFormat="1" applyFont="1" applyBorder="1" applyAlignment="1">
      <alignment horizontal="center" vertical="center"/>
    </xf>
    <xf numFmtId="14" fontId="26" fillId="0" borderId="18" xfId="0" applyNumberFormat="1" applyFont="1" applyBorder="1" applyAlignment="1">
      <alignment horizontal="center" vertical="center"/>
    </xf>
    <xf numFmtId="0" fontId="26" fillId="0" borderId="24" xfId="0" applyFont="1" applyBorder="1"/>
    <xf numFmtId="0" fontId="26" fillId="0" borderId="23" xfId="0" applyFont="1" applyBorder="1" applyAlignment="1">
      <alignment horizontal="center" vertical="center"/>
    </xf>
    <xf numFmtId="14" fontId="26" fillId="0" borderId="97" xfId="0" applyNumberFormat="1" applyFont="1" applyBorder="1" applyAlignment="1">
      <alignment horizontal="center" vertical="center"/>
    </xf>
    <xf numFmtId="14" fontId="26" fillId="0" borderId="25" xfId="0" applyNumberFormat="1" applyFont="1" applyBorder="1" applyAlignment="1">
      <alignment horizontal="center" vertical="center"/>
    </xf>
    <xf numFmtId="0" fontId="24" fillId="0" borderId="36" xfId="0" applyFont="1" applyBorder="1"/>
    <xf numFmtId="0" fontId="24" fillId="0" borderId="32" xfId="0" applyFont="1" applyBorder="1"/>
    <xf numFmtId="0" fontId="24" fillId="0" borderId="39" xfId="0" applyFont="1" applyBorder="1"/>
    <xf numFmtId="0" fontId="21" fillId="6" borderId="92" xfId="0" applyFont="1" applyFill="1" applyBorder="1" applyAlignment="1">
      <alignment horizontal="center" vertical="center" wrapText="1"/>
    </xf>
    <xf numFmtId="0" fontId="21" fillId="6" borderId="89" xfId="0" applyFont="1" applyFill="1" applyBorder="1" applyAlignment="1">
      <alignment horizontal="center" vertical="center" wrapText="1"/>
    </xf>
    <xf numFmtId="0" fontId="19" fillId="6" borderId="29" xfId="0" applyFont="1" applyFill="1" applyBorder="1" applyAlignment="1">
      <alignment horizontal="center" vertical="center"/>
    </xf>
    <xf numFmtId="0" fontId="19" fillId="6" borderId="28" xfId="0" applyFont="1" applyFill="1" applyBorder="1" applyAlignment="1">
      <alignment horizontal="center" vertical="center"/>
    </xf>
    <xf numFmtId="0" fontId="19" fillId="6" borderId="27" xfId="0" applyFont="1" applyFill="1" applyBorder="1" applyAlignment="1">
      <alignment horizontal="center" vertical="center"/>
    </xf>
    <xf numFmtId="0" fontId="12" fillId="8" borderId="82" xfId="0" quotePrefix="1" applyFont="1" applyFill="1" applyBorder="1" applyAlignment="1">
      <alignment horizontal="center" vertical="center"/>
    </xf>
    <xf numFmtId="9" fontId="13" fillId="0" borderId="0" xfId="2" applyFont="1"/>
    <xf numFmtId="0" fontId="19" fillId="6" borderId="42" xfId="0" applyFont="1" applyFill="1" applyBorder="1" applyAlignment="1">
      <alignment vertical="center"/>
    </xf>
    <xf numFmtId="0" fontId="19" fillId="6" borderId="43" xfId="0" applyFont="1" applyFill="1" applyBorder="1" applyAlignment="1">
      <alignment vertical="center"/>
    </xf>
    <xf numFmtId="0" fontId="19" fillId="6" borderId="44" xfId="0" applyFont="1" applyFill="1" applyBorder="1" applyAlignment="1">
      <alignment vertical="center"/>
    </xf>
    <xf numFmtId="0" fontId="21" fillId="6" borderId="88" xfId="0" applyFont="1" applyFill="1" applyBorder="1" applyAlignment="1">
      <alignment vertical="center" wrapText="1"/>
    </xf>
    <xf numFmtId="0" fontId="21" fillId="6" borderId="94" xfId="0" applyFont="1" applyFill="1" applyBorder="1" applyAlignment="1">
      <alignment vertical="center" wrapText="1"/>
    </xf>
    <xf numFmtId="0" fontId="21" fillId="6" borderId="90" xfId="0" applyFont="1" applyFill="1" applyBorder="1" applyAlignment="1">
      <alignment vertical="center" wrapText="1"/>
    </xf>
    <xf numFmtId="0" fontId="24" fillId="0" borderId="0" xfId="0" applyFont="1"/>
    <xf numFmtId="0" fontId="26" fillId="0" borderId="0" xfId="0" applyFont="1"/>
    <xf numFmtId="0" fontId="24" fillId="0" borderId="46" xfId="0" applyFont="1" applyBorder="1"/>
    <xf numFmtId="0" fontId="24" fillId="0" borderId="60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14" fontId="26" fillId="0" borderId="46" xfId="0" applyNumberFormat="1" applyFont="1" applyBorder="1" applyAlignment="1">
      <alignment horizontal="center" vertical="center"/>
    </xf>
    <xf numFmtId="10" fontId="14" fillId="0" borderId="88" xfId="0" applyNumberFormat="1" applyFont="1" applyBorder="1" applyAlignment="1">
      <alignment horizontal="center" vertical="center"/>
    </xf>
    <xf numFmtId="10" fontId="14" fillId="0" borderId="86" xfId="0" applyNumberFormat="1" applyFont="1" applyBorder="1" applyAlignment="1">
      <alignment horizontal="center" vertical="center"/>
    </xf>
    <xf numFmtId="10" fontId="14" fillId="0" borderId="60" xfId="0" applyNumberFormat="1" applyFont="1" applyBorder="1" applyAlignment="1">
      <alignment horizontal="center" vertical="center"/>
    </xf>
    <xf numFmtId="0" fontId="12" fillId="8" borderId="11" xfId="0" quotePrefix="1" applyFont="1" applyFill="1" applyBorder="1" applyAlignment="1">
      <alignment horizontal="center" vertical="center"/>
    </xf>
    <xf numFmtId="10" fontId="12" fillId="0" borderId="51" xfId="0" applyNumberFormat="1" applyFont="1" applyBorder="1" applyAlignment="1">
      <alignment horizontal="center" vertical="center"/>
    </xf>
    <xf numFmtId="14" fontId="24" fillId="0" borderId="97" xfId="0" applyNumberFormat="1" applyFont="1" applyBorder="1" applyAlignment="1">
      <alignment horizontal="center" vertical="center"/>
    </xf>
    <xf numFmtId="0" fontId="23" fillId="0" borderId="72" xfId="0" applyFont="1" applyBorder="1" applyAlignment="1">
      <alignment horizontal="right"/>
    </xf>
    <xf numFmtId="0" fontId="23" fillId="0" borderId="74" xfId="0" applyFont="1" applyBorder="1" applyAlignment="1">
      <alignment horizontal="right"/>
    </xf>
    <xf numFmtId="15" fontId="23" fillId="0" borderId="74" xfId="0" applyNumberFormat="1" applyFont="1" applyBorder="1" applyAlignment="1">
      <alignment horizontal="right"/>
    </xf>
    <xf numFmtId="0" fontId="21" fillId="6" borderId="71" xfId="0" applyFont="1" applyFill="1" applyBorder="1" applyAlignment="1">
      <alignment horizontal="right" vertical="center" wrapText="1"/>
    </xf>
    <xf numFmtId="0" fontId="24" fillId="0" borderId="49" xfId="0" applyFont="1" applyBorder="1" applyAlignment="1">
      <alignment vertical="center"/>
    </xf>
    <xf numFmtId="0" fontId="24" fillId="0" borderId="41" xfId="0" applyFont="1" applyBorder="1" applyAlignment="1">
      <alignment vertical="center"/>
    </xf>
    <xf numFmtId="0" fontId="24" fillId="0" borderId="50" xfId="0" applyFont="1" applyBorder="1" applyAlignment="1">
      <alignment vertical="center"/>
    </xf>
    <xf numFmtId="0" fontId="24" fillId="0" borderId="49" xfId="0" applyFont="1" applyBorder="1" applyAlignment="1">
      <alignment vertical="center" wrapText="1"/>
    </xf>
    <xf numFmtId="0" fontId="24" fillId="8" borderId="49" xfId="0" applyFont="1" applyFill="1" applyBorder="1" applyAlignment="1">
      <alignment vertical="center"/>
    </xf>
    <xf numFmtId="0" fontId="24" fillId="7" borderId="41" xfId="0" applyFont="1" applyFill="1" applyBorder="1" applyAlignment="1">
      <alignment vertical="center"/>
    </xf>
    <xf numFmtId="0" fontId="24" fillId="9" borderId="50" xfId="0" applyFont="1" applyFill="1" applyBorder="1" applyAlignment="1">
      <alignment vertical="center"/>
    </xf>
    <xf numFmtId="0" fontId="8" fillId="0" borderId="0" xfId="3"/>
    <xf numFmtId="0" fontId="8" fillId="0" borderId="2" xfId="3" applyBorder="1" applyAlignment="1">
      <alignment horizontal="center" vertical="center"/>
    </xf>
    <xf numFmtId="2" fontId="8" fillId="0" borderId="2" xfId="3" applyNumberFormat="1" applyBorder="1" applyAlignment="1">
      <alignment horizontal="center" vertical="center"/>
    </xf>
    <xf numFmtId="44" fontId="0" fillId="0" borderId="2" xfId="4" applyFont="1" applyFill="1" applyBorder="1" applyAlignment="1">
      <alignment horizontal="center" vertical="center"/>
    </xf>
    <xf numFmtId="10" fontId="8" fillId="0" borderId="2" xfId="3" applyNumberFormat="1" applyBorder="1" applyAlignment="1">
      <alignment horizontal="center" vertical="center"/>
    </xf>
    <xf numFmtId="10" fontId="0" fillId="0" borderId="2" xfId="5" applyNumberFormat="1" applyFont="1" applyBorder="1" applyAlignment="1">
      <alignment horizontal="center" vertical="center"/>
    </xf>
    <xf numFmtId="165" fontId="8" fillId="0" borderId="2" xfId="3" applyNumberFormat="1" applyBorder="1" applyAlignment="1">
      <alignment horizontal="center" vertical="center"/>
    </xf>
    <xf numFmtId="0" fontId="8" fillId="11" borderId="2" xfId="3" applyFill="1" applyBorder="1" applyAlignment="1">
      <alignment horizontal="center" vertical="center"/>
    </xf>
    <xf numFmtId="2" fontId="8" fillId="11" borderId="2" xfId="3" applyNumberFormat="1" applyFill="1" applyBorder="1" applyAlignment="1">
      <alignment horizontal="center" vertical="center"/>
    </xf>
    <xf numFmtId="10" fontId="8" fillId="11" borderId="2" xfId="3" applyNumberFormat="1" applyFill="1" applyBorder="1" applyAlignment="1">
      <alignment horizontal="center" vertical="center"/>
    </xf>
    <xf numFmtId="44" fontId="0" fillId="11" borderId="2" xfId="4" applyFont="1" applyFill="1" applyBorder="1" applyAlignment="1">
      <alignment horizontal="center" vertical="center"/>
    </xf>
    <xf numFmtId="0" fontId="8" fillId="11" borderId="0" xfId="3" applyFill="1"/>
    <xf numFmtId="0" fontId="8" fillId="12" borderId="2" xfId="3" applyFill="1" applyBorder="1" applyAlignment="1">
      <alignment horizontal="center" vertical="center"/>
    </xf>
    <xf numFmtId="2" fontId="8" fillId="12" borderId="2" xfId="3" applyNumberFormat="1" applyFill="1" applyBorder="1" applyAlignment="1">
      <alignment horizontal="center" vertical="center"/>
    </xf>
    <xf numFmtId="164" fontId="8" fillId="12" borderId="2" xfId="3" applyNumberFormat="1" applyFill="1" applyBorder="1" applyAlignment="1">
      <alignment horizontal="center" vertical="center"/>
    </xf>
    <xf numFmtId="44" fontId="0" fillId="12" borderId="2" xfId="4" applyFont="1" applyFill="1" applyBorder="1" applyAlignment="1">
      <alignment horizontal="center" vertical="center"/>
    </xf>
    <xf numFmtId="0" fontId="8" fillId="0" borderId="0" xfId="3" applyAlignment="1">
      <alignment horizontal="center" vertical="center"/>
    </xf>
    <xf numFmtId="14" fontId="8" fillId="0" borderId="0" xfId="3" applyNumberFormat="1" applyAlignment="1">
      <alignment horizontal="center" vertical="center"/>
    </xf>
    <xf numFmtId="44" fontId="0" fillId="0" borderId="0" xfId="4" applyFont="1" applyAlignment="1">
      <alignment horizontal="center" vertical="center"/>
    </xf>
    <xf numFmtId="2" fontId="8" fillId="0" borderId="0" xfId="3" applyNumberFormat="1" applyAlignment="1">
      <alignment horizontal="center" vertical="center"/>
    </xf>
    <xf numFmtId="14" fontId="28" fillId="0" borderId="66" xfId="3" applyNumberFormat="1" applyFont="1" applyBorder="1" applyAlignment="1">
      <alignment horizontal="right" vertical="center"/>
    </xf>
    <xf numFmtId="44" fontId="8" fillId="0" borderId="1" xfId="3" applyNumberFormat="1" applyBorder="1"/>
    <xf numFmtId="14" fontId="28" fillId="0" borderId="34" xfId="3" applyNumberFormat="1" applyFont="1" applyBorder="1" applyAlignment="1">
      <alignment horizontal="right" vertical="center"/>
    </xf>
    <xf numFmtId="44" fontId="8" fillId="0" borderId="2" xfId="3" applyNumberFormat="1" applyBorder="1"/>
    <xf numFmtId="14" fontId="28" fillId="0" borderId="68" xfId="3" applyNumberFormat="1" applyFont="1" applyBorder="1" applyAlignment="1">
      <alignment horizontal="right" vertical="center"/>
    </xf>
    <xf numFmtId="44" fontId="8" fillId="0" borderId="3" xfId="3" applyNumberFormat="1" applyBorder="1"/>
    <xf numFmtId="0" fontId="8" fillId="0" borderId="59" xfId="3" applyBorder="1" applyAlignment="1">
      <alignment horizontal="left" vertical="center"/>
    </xf>
    <xf numFmtId="44" fontId="8" fillId="0" borderId="67" xfId="3" applyNumberFormat="1" applyBorder="1"/>
    <xf numFmtId="44" fontId="8" fillId="0" borderId="35" xfId="3" applyNumberFormat="1" applyBorder="1"/>
    <xf numFmtId="44" fontId="8" fillId="0" borderId="59" xfId="3" applyNumberFormat="1" applyBorder="1"/>
    <xf numFmtId="0" fontId="7" fillId="12" borderId="2" xfId="3" applyFont="1" applyFill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19" fillId="6" borderId="87" xfId="0" applyFont="1" applyFill="1" applyBorder="1" applyAlignment="1">
      <alignment horizontal="center" vertical="center" wrapText="1"/>
    </xf>
    <xf numFmtId="164" fontId="6" fillId="11" borderId="2" xfId="3" applyNumberFormat="1" applyFont="1" applyFill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5" fillId="0" borderId="35" xfId="3" applyFont="1" applyBorder="1" applyAlignment="1">
      <alignment horizontal="left" vertical="center"/>
    </xf>
    <xf numFmtId="0" fontId="5" fillId="0" borderId="67" xfId="3" applyFont="1" applyBorder="1" applyAlignment="1">
      <alignment horizontal="left" vertical="center"/>
    </xf>
    <xf numFmtId="0" fontId="4" fillId="0" borderId="2" xfId="3" applyFont="1" applyBorder="1" applyAlignment="1">
      <alignment horizontal="center" vertical="center"/>
    </xf>
    <xf numFmtId="10" fontId="12" fillId="0" borderId="52" xfId="0" applyNumberFormat="1" applyFont="1" applyBorder="1" applyAlignment="1">
      <alignment horizontal="center" vertical="center"/>
    </xf>
    <xf numFmtId="10" fontId="13" fillId="0" borderId="54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14" fontId="13" fillId="0" borderId="18" xfId="0" applyNumberFormat="1" applyFont="1" applyBorder="1" applyAlignment="1">
      <alignment horizontal="center" vertical="center" wrapText="1"/>
    </xf>
    <xf numFmtId="10" fontId="13" fillId="0" borderId="17" xfId="0" applyNumberFormat="1" applyFont="1" applyBorder="1" applyAlignment="1">
      <alignment horizontal="center" vertical="center"/>
    </xf>
    <xf numFmtId="10" fontId="13" fillId="0" borderId="18" xfId="0" applyNumberFormat="1" applyFont="1" applyBorder="1" applyAlignment="1">
      <alignment horizontal="center" vertical="center"/>
    </xf>
    <xf numFmtId="14" fontId="13" fillId="0" borderId="25" xfId="0" applyNumberFormat="1" applyFont="1" applyBorder="1" applyAlignment="1">
      <alignment horizontal="center" vertical="center" wrapText="1"/>
    </xf>
    <xf numFmtId="10" fontId="13" fillId="0" borderId="23" xfId="0" applyNumberFormat="1" applyFont="1" applyBorder="1" applyAlignment="1">
      <alignment horizontal="center" vertical="center"/>
    </xf>
    <xf numFmtId="10" fontId="13" fillId="0" borderId="25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102" xfId="0" applyFont="1" applyBorder="1" applyAlignment="1">
      <alignment horizontal="center" vertical="center"/>
    </xf>
    <xf numFmtId="0" fontId="14" fillId="0" borderId="1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9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97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4" fontId="8" fillId="0" borderId="63" xfId="3" applyNumberFormat="1" applyBorder="1"/>
    <xf numFmtId="44" fontId="8" fillId="0" borderId="114" xfId="3" applyNumberFormat="1" applyBorder="1"/>
    <xf numFmtId="44" fontId="8" fillId="0" borderId="64" xfId="3" applyNumberFormat="1" applyBorder="1"/>
    <xf numFmtId="44" fontId="8" fillId="0" borderId="0" xfId="3" applyNumberFormat="1"/>
    <xf numFmtId="44" fontId="9" fillId="0" borderId="2" xfId="4" applyFont="1" applyFill="1" applyBorder="1" applyAlignment="1">
      <alignment horizontal="center" vertical="center"/>
    </xf>
    <xf numFmtId="2" fontId="27" fillId="10" borderId="2" xfId="3" applyNumberFormat="1" applyFont="1" applyFill="1" applyBorder="1" applyAlignment="1">
      <alignment horizontal="center" vertical="center"/>
    </xf>
    <xf numFmtId="0" fontId="27" fillId="10" borderId="2" xfId="3" applyFont="1" applyFill="1" applyBorder="1" applyAlignment="1">
      <alignment horizontal="center" vertical="center"/>
    </xf>
    <xf numFmtId="0" fontId="28" fillId="13" borderId="2" xfId="3" applyFont="1" applyFill="1" applyBorder="1" applyAlignment="1">
      <alignment horizontal="center" vertical="center"/>
    </xf>
    <xf numFmtId="14" fontId="28" fillId="13" borderId="2" xfId="3" applyNumberFormat="1" applyFont="1" applyFill="1" applyBorder="1" applyAlignment="1">
      <alignment horizontal="center" vertical="center"/>
    </xf>
    <xf numFmtId="10" fontId="28" fillId="13" borderId="2" xfId="3" applyNumberFormat="1" applyFont="1" applyFill="1" applyBorder="1" applyAlignment="1">
      <alignment horizontal="center" vertical="center"/>
    </xf>
    <xf numFmtId="0" fontId="27" fillId="10" borderId="114" xfId="3" applyFont="1" applyFill="1" applyBorder="1" applyAlignment="1">
      <alignment vertical="center"/>
    </xf>
    <xf numFmtId="0" fontId="27" fillId="10" borderId="115" xfId="3" applyFont="1" applyFill="1" applyBorder="1" applyAlignment="1">
      <alignment vertical="center"/>
    </xf>
    <xf numFmtId="14" fontId="24" fillId="0" borderId="25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0" fontId="25" fillId="6" borderId="27" xfId="2" applyNumberFormat="1" applyFont="1" applyFill="1" applyBorder="1" applyAlignment="1">
      <alignment horizontal="center" vertical="center" wrapText="1"/>
    </xf>
    <xf numFmtId="10" fontId="25" fillId="6" borderId="28" xfId="2" applyNumberFormat="1" applyFont="1" applyFill="1" applyBorder="1" applyAlignment="1">
      <alignment horizontal="center" vertical="center" wrapText="1"/>
    </xf>
    <xf numFmtId="10" fontId="25" fillId="6" borderId="28" xfId="0" applyNumberFormat="1" applyFont="1" applyFill="1" applyBorder="1" applyAlignment="1">
      <alignment horizontal="center" vertical="center" wrapText="1"/>
    </xf>
    <xf numFmtId="10" fontId="25" fillId="6" borderId="29" xfId="0" applyNumberFormat="1" applyFont="1" applyFill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9" fillId="6" borderId="79" xfId="0" applyFont="1" applyFill="1" applyBorder="1" applyAlignment="1">
      <alignment horizontal="center"/>
    </xf>
    <xf numFmtId="0" fontId="19" fillId="6" borderId="80" xfId="0" applyFont="1" applyFill="1" applyBorder="1" applyAlignment="1">
      <alignment horizontal="center"/>
    </xf>
    <xf numFmtId="0" fontId="21" fillId="6" borderId="87" xfId="0" applyFont="1" applyFill="1" applyBorder="1" applyAlignment="1">
      <alignment horizontal="right" vertical="center" wrapText="1"/>
    </xf>
    <xf numFmtId="0" fontId="21" fillId="6" borderId="21" xfId="0" applyFont="1" applyFill="1" applyBorder="1" applyAlignment="1">
      <alignment horizontal="right" vertical="center" wrapText="1"/>
    </xf>
    <xf numFmtId="0" fontId="21" fillId="6" borderId="88" xfId="0" applyFont="1" applyFill="1" applyBorder="1" applyAlignment="1">
      <alignment horizontal="right" vertical="center" wrapText="1"/>
    </xf>
    <xf numFmtId="0" fontId="21" fillId="6" borderId="79" xfId="0" applyFont="1" applyFill="1" applyBorder="1" applyAlignment="1">
      <alignment horizontal="center" vertical="center" wrapText="1"/>
    </xf>
    <xf numFmtId="0" fontId="21" fillId="6" borderId="80" xfId="0" applyFont="1" applyFill="1" applyBorder="1" applyAlignment="1">
      <alignment horizontal="center" vertical="center" wrapText="1"/>
    </xf>
    <xf numFmtId="0" fontId="21" fillId="6" borderId="81" xfId="0" applyFont="1" applyFill="1" applyBorder="1" applyAlignment="1">
      <alignment horizontal="center" vertical="center" wrapText="1"/>
    </xf>
    <xf numFmtId="0" fontId="21" fillId="6" borderId="49" xfId="0" applyFont="1" applyFill="1" applyBorder="1" applyAlignment="1">
      <alignment horizontal="center" vertical="center" wrapText="1"/>
    </xf>
    <xf numFmtId="0" fontId="21" fillId="6" borderId="50" xfId="0" applyFont="1" applyFill="1" applyBorder="1" applyAlignment="1">
      <alignment horizontal="center" vertical="center" wrapText="1"/>
    </xf>
    <xf numFmtId="0" fontId="21" fillId="6" borderId="79" xfId="0" applyFont="1" applyFill="1" applyBorder="1" applyAlignment="1">
      <alignment horizontal="center" vertical="center"/>
    </xf>
    <xf numFmtId="0" fontId="21" fillId="6" borderId="81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90" xfId="0" applyFont="1" applyBorder="1" applyAlignment="1">
      <alignment horizontal="left" vertical="center" wrapText="1"/>
    </xf>
    <xf numFmtId="0" fontId="21" fillId="6" borderId="21" xfId="0" applyFont="1" applyFill="1" applyBorder="1" applyAlignment="1">
      <alignment horizontal="right" vertical="center"/>
    </xf>
    <xf numFmtId="0" fontId="21" fillId="6" borderId="88" xfId="0" applyFont="1" applyFill="1" applyBorder="1" applyAlignment="1">
      <alignment horizontal="right" vertical="center"/>
    </xf>
    <xf numFmtId="10" fontId="21" fillId="6" borderId="87" xfId="0" applyNumberFormat="1" applyFont="1" applyFill="1" applyBorder="1" applyAlignment="1">
      <alignment horizontal="right" vertical="center"/>
    </xf>
    <xf numFmtId="10" fontId="21" fillId="6" borderId="21" xfId="0" applyNumberFormat="1" applyFont="1" applyFill="1" applyBorder="1" applyAlignment="1">
      <alignment horizontal="right" vertical="center"/>
    </xf>
    <xf numFmtId="10" fontId="21" fillId="6" borderId="88" xfId="0" applyNumberFormat="1" applyFont="1" applyFill="1" applyBorder="1" applyAlignment="1">
      <alignment horizontal="right" vertical="center"/>
    </xf>
    <xf numFmtId="0" fontId="21" fillId="6" borderId="57" xfId="0" applyFont="1" applyFill="1" applyBorder="1" applyAlignment="1">
      <alignment horizontal="center"/>
    </xf>
    <xf numFmtId="0" fontId="21" fillId="6" borderId="55" xfId="0" applyFont="1" applyFill="1" applyBorder="1" applyAlignment="1">
      <alignment horizontal="center"/>
    </xf>
    <xf numFmtId="0" fontId="21" fillId="6" borderId="58" xfId="0" applyFont="1" applyFill="1" applyBorder="1" applyAlignment="1">
      <alignment horizontal="center"/>
    </xf>
    <xf numFmtId="0" fontId="19" fillId="6" borderId="66" xfId="0" applyFont="1" applyFill="1" applyBorder="1" applyAlignment="1">
      <alignment horizontal="center" vertical="center"/>
    </xf>
    <xf numFmtId="0" fontId="19" fillId="6" borderId="10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19" fillId="6" borderId="67" xfId="0" applyFont="1" applyFill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0" fontId="21" fillId="6" borderId="100" xfId="0" applyFont="1" applyFill="1" applyBorder="1" applyAlignment="1">
      <alignment horizontal="center" vertical="center"/>
    </xf>
    <xf numFmtId="0" fontId="21" fillId="6" borderId="103" xfId="0" applyFont="1" applyFill="1" applyBorder="1" applyAlignment="1">
      <alignment horizontal="center" vertical="center"/>
    </xf>
    <xf numFmtId="0" fontId="21" fillId="6" borderId="104" xfId="0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9" fillId="6" borderId="81" xfId="0" applyFont="1" applyFill="1" applyBorder="1" applyAlignment="1">
      <alignment horizontal="center"/>
    </xf>
    <xf numFmtId="0" fontId="21" fillId="6" borderId="87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92" xfId="0" applyFont="1" applyFill="1" applyBorder="1" applyAlignment="1">
      <alignment horizontal="center" vertical="center" wrapText="1"/>
    </xf>
    <xf numFmtId="0" fontId="21" fillId="6" borderId="93" xfId="0" applyFont="1" applyFill="1" applyBorder="1" applyAlignment="1">
      <alignment horizontal="center" vertical="center" wrapText="1"/>
    </xf>
    <xf numFmtId="0" fontId="21" fillId="6" borderId="89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4" fillId="0" borderId="109" xfId="0" applyFont="1" applyBorder="1" applyAlignment="1">
      <alignment horizontal="left" vertical="center"/>
    </xf>
    <xf numFmtId="0" fontId="24" fillId="0" borderId="105" xfId="0" applyFont="1" applyBorder="1" applyAlignment="1">
      <alignment horizontal="left" vertical="center"/>
    </xf>
    <xf numFmtId="0" fontId="24" fillId="0" borderId="110" xfId="0" applyFont="1" applyBorder="1" applyAlignment="1">
      <alignment horizontal="left" vertical="center"/>
    </xf>
    <xf numFmtId="0" fontId="24" fillId="0" borderId="109" xfId="0" applyFont="1" applyBorder="1" applyAlignment="1">
      <alignment horizontal="left"/>
    </xf>
    <xf numFmtId="0" fontId="24" fillId="0" borderId="105" xfId="0" applyFont="1" applyBorder="1" applyAlignment="1">
      <alignment horizontal="left"/>
    </xf>
    <xf numFmtId="0" fontId="24" fillId="0" borderId="110" xfId="0" applyFont="1" applyBorder="1" applyAlignment="1">
      <alignment horizontal="left"/>
    </xf>
    <xf numFmtId="0" fontId="24" fillId="0" borderId="111" xfId="0" applyFont="1" applyBorder="1" applyAlignment="1">
      <alignment horizontal="left"/>
    </xf>
    <xf numFmtId="0" fontId="24" fillId="0" borderId="112" xfId="0" applyFont="1" applyBorder="1" applyAlignment="1">
      <alignment horizontal="left"/>
    </xf>
    <xf numFmtId="0" fontId="24" fillId="0" borderId="113" xfId="0" applyFont="1" applyBorder="1" applyAlignment="1">
      <alignment horizontal="left"/>
    </xf>
    <xf numFmtId="0" fontId="21" fillId="6" borderId="45" xfId="0" applyFont="1" applyFill="1" applyBorder="1" applyAlignment="1">
      <alignment horizontal="center" vertical="center" wrapText="1"/>
    </xf>
    <xf numFmtId="0" fontId="21" fillId="6" borderId="72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left" vertical="center" wrapText="1"/>
    </xf>
    <xf numFmtId="0" fontId="24" fillId="0" borderId="50" xfId="0" applyFont="1" applyBorder="1" applyAlignment="1">
      <alignment horizontal="left" vertical="center" wrapText="1"/>
    </xf>
    <xf numFmtId="0" fontId="21" fillId="6" borderId="73" xfId="0" applyFont="1" applyFill="1" applyBorder="1" applyAlignment="1">
      <alignment horizontal="right" vertical="center"/>
    </xf>
    <xf numFmtId="0" fontId="21" fillId="6" borderId="75" xfId="0" applyFont="1" applyFill="1" applyBorder="1" applyAlignment="1">
      <alignment horizontal="right" vertical="center"/>
    </xf>
    <xf numFmtId="0" fontId="21" fillId="6" borderId="45" xfId="0" applyFont="1" applyFill="1" applyBorder="1" applyAlignment="1">
      <alignment horizontal="right" vertical="center" wrapText="1"/>
    </xf>
    <xf numFmtId="0" fontId="21" fillId="6" borderId="0" xfId="0" applyFont="1" applyFill="1" applyAlignment="1">
      <alignment horizontal="right" vertical="center" wrapText="1"/>
    </xf>
    <xf numFmtId="0" fontId="21" fillId="6" borderId="46" xfId="0" applyFont="1" applyFill="1" applyBorder="1" applyAlignment="1">
      <alignment horizontal="right" vertical="center" wrapText="1"/>
    </xf>
    <xf numFmtId="10" fontId="21" fillId="6" borderId="71" xfId="0" applyNumberFormat="1" applyFont="1" applyFill="1" applyBorder="1" applyAlignment="1">
      <alignment horizontal="right" vertical="center" wrapText="1"/>
    </xf>
    <xf numFmtId="10" fontId="21" fillId="6" borderId="73" xfId="0" applyNumberFormat="1" applyFont="1" applyFill="1" applyBorder="1" applyAlignment="1">
      <alignment horizontal="right" vertical="center"/>
    </xf>
    <xf numFmtId="10" fontId="21" fillId="6" borderId="75" xfId="0" applyNumberFormat="1" applyFont="1" applyFill="1" applyBorder="1" applyAlignment="1">
      <alignment horizontal="right" vertical="center"/>
    </xf>
    <xf numFmtId="0" fontId="21" fillId="6" borderId="71" xfId="0" applyFont="1" applyFill="1" applyBorder="1" applyAlignment="1">
      <alignment horizontal="right" vertical="center" wrapText="1"/>
    </xf>
    <xf numFmtId="0" fontId="21" fillId="6" borderId="73" xfId="0" applyFont="1" applyFill="1" applyBorder="1" applyAlignment="1">
      <alignment horizontal="right" vertical="center" wrapText="1"/>
    </xf>
    <xf numFmtId="0" fontId="21" fillId="6" borderId="75" xfId="0" applyFont="1" applyFill="1" applyBorder="1" applyAlignment="1">
      <alignment horizontal="right" vertical="center" wrapText="1"/>
    </xf>
    <xf numFmtId="0" fontId="24" fillId="0" borderId="106" xfId="0" applyFont="1" applyBorder="1" applyAlignment="1">
      <alignment horizontal="left" vertical="center"/>
    </xf>
    <xf numFmtId="0" fontId="24" fillId="0" borderId="107" xfId="0" applyFont="1" applyBorder="1" applyAlignment="1">
      <alignment horizontal="left" vertical="center"/>
    </xf>
    <xf numFmtId="0" fontId="24" fillId="0" borderId="108" xfId="0" applyFont="1" applyBorder="1" applyAlignment="1">
      <alignment horizontal="left" vertical="center"/>
    </xf>
    <xf numFmtId="10" fontId="21" fillId="6" borderId="49" xfId="0" applyNumberFormat="1" applyFont="1" applyFill="1" applyBorder="1" applyAlignment="1">
      <alignment horizontal="center" vertical="center" wrapText="1"/>
    </xf>
    <xf numFmtId="10" fontId="21" fillId="6" borderId="41" xfId="0" applyNumberFormat="1" applyFont="1" applyFill="1" applyBorder="1" applyAlignment="1">
      <alignment horizontal="center" vertical="center" wrapText="1"/>
    </xf>
    <xf numFmtId="10" fontId="21" fillId="6" borderId="50" xfId="0" applyNumberFormat="1" applyFont="1" applyFill="1" applyBorder="1" applyAlignment="1">
      <alignment horizontal="center" vertical="center" wrapText="1"/>
    </xf>
    <xf numFmtId="0" fontId="14" fillId="0" borderId="7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74" xfId="0" applyFont="1" applyBorder="1" applyAlignment="1">
      <alignment horizontal="left" vertical="center" wrapText="1"/>
    </xf>
    <xf numFmtId="0" fontId="14" fillId="0" borderId="7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74" xfId="0" applyFont="1" applyBorder="1" applyAlignment="1">
      <alignment horizontal="left" vertical="center"/>
    </xf>
    <xf numFmtId="0" fontId="14" fillId="0" borderId="71" xfId="0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/>
    </xf>
    <xf numFmtId="0" fontId="14" fillId="0" borderId="72" xfId="0" applyFont="1" applyBorder="1" applyAlignment="1">
      <alignment horizontal="left" vertical="center"/>
    </xf>
    <xf numFmtId="0" fontId="14" fillId="0" borderId="75" xfId="0" applyFont="1" applyBorder="1" applyAlignment="1">
      <alignment horizontal="left" vertical="center"/>
    </xf>
    <xf numFmtId="0" fontId="14" fillId="0" borderId="46" xfId="0" applyFont="1" applyBorder="1" applyAlignment="1">
      <alignment horizontal="left" vertical="center"/>
    </xf>
    <xf numFmtId="0" fontId="14" fillId="0" borderId="60" xfId="0" applyFont="1" applyBorder="1" applyAlignment="1">
      <alignment horizontal="left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5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5" borderId="45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2" borderId="87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92" xfId="0" applyFont="1" applyFill="1" applyBorder="1" applyAlignment="1">
      <alignment horizontal="center" vertical="center" wrapText="1"/>
    </xf>
    <xf numFmtId="0" fontId="12" fillId="2" borderId="93" xfId="0" applyFont="1" applyFill="1" applyBorder="1" applyAlignment="1">
      <alignment horizontal="center" vertical="center" wrapText="1"/>
    </xf>
    <xf numFmtId="0" fontId="12" fillId="2" borderId="89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5" borderId="57" xfId="0" applyFont="1" applyFill="1" applyBorder="1" applyAlignment="1">
      <alignment horizontal="center" vertical="center"/>
    </xf>
    <xf numFmtId="0" fontId="12" fillId="5" borderId="55" xfId="0" applyFont="1" applyFill="1" applyBorder="1" applyAlignment="1">
      <alignment horizontal="center" vertical="center"/>
    </xf>
    <xf numFmtId="0" fontId="12" fillId="5" borderId="58" xfId="0" applyFont="1" applyFill="1" applyBorder="1" applyAlignment="1">
      <alignment horizontal="center" vertical="center"/>
    </xf>
    <xf numFmtId="0" fontId="12" fillId="5" borderId="3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9" fontId="12" fillId="5" borderId="68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9" fontId="12" fillId="5" borderId="3" xfId="0" applyNumberFormat="1" applyFont="1" applyFill="1" applyBorder="1" applyAlignment="1">
      <alignment horizontal="center" vertical="center"/>
    </xf>
    <xf numFmtId="0" fontId="12" fillId="5" borderId="5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4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14" fontId="12" fillId="0" borderId="49" xfId="0" applyNumberFormat="1" applyFont="1" applyBorder="1" applyAlignment="1">
      <alignment horizontal="center" vertical="center"/>
    </xf>
    <xf numFmtId="14" fontId="12" fillId="0" borderId="41" xfId="0" applyNumberFormat="1" applyFont="1" applyBorder="1" applyAlignment="1">
      <alignment horizontal="center" vertical="center"/>
    </xf>
    <xf numFmtId="14" fontId="12" fillId="0" borderId="50" xfId="0" applyNumberFormat="1" applyFont="1" applyBorder="1" applyAlignment="1">
      <alignment horizontal="center" vertical="center"/>
    </xf>
    <xf numFmtId="9" fontId="12" fillId="5" borderId="64" xfId="0" applyNumberFormat="1" applyFont="1" applyFill="1" applyBorder="1" applyAlignment="1">
      <alignment horizontal="center" vertical="center"/>
    </xf>
    <xf numFmtId="0" fontId="12" fillId="5" borderId="65" xfId="0" applyFont="1" applyFill="1" applyBorder="1" applyAlignment="1">
      <alignment horizontal="center" vertical="center"/>
    </xf>
    <xf numFmtId="9" fontId="12" fillId="5" borderId="56" xfId="0" applyNumberFormat="1" applyFont="1" applyFill="1" applyBorder="1" applyAlignment="1">
      <alignment horizontal="center" vertical="center"/>
    </xf>
    <xf numFmtId="0" fontId="12" fillId="5" borderId="62" xfId="0" applyFont="1" applyFill="1" applyBorder="1" applyAlignment="1">
      <alignment horizontal="center" vertical="center"/>
    </xf>
    <xf numFmtId="9" fontId="12" fillId="5" borderId="61" xfId="0" applyNumberFormat="1" applyFont="1" applyFill="1" applyBorder="1" applyAlignment="1">
      <alignment horizontal="center" vertical="center"/>
    </xf>
    <xf numFmtId="0" fontId="12" fillId="5" borderId="56" xfId="0" applyFont="1" applyFill="1" applyBorder="1" applyAlignment="1">
      <alignment horizontal="center" vertical="center"/>
    </xf>
    <xf numFmtId="0" fontId="12" fillId="5" borderId="98" xfId="0" applyFont="1" applyFill="1" applyBorder="1" applyAlignment="1">
      <alignment horizontal="center" vertical="center"/>
    </xf>
    <xf numFmtId="0" fontId="12" fillId="5" borderId="99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 wrapText="1"/>
    </xf>
    <xf numFmtId="0" fontId="12" fillId="5" borderId="117" xfId="0" applyFont="1" applyFill="1" applyBorder="1" applyAlignment="1">
      <alignment horizontal="center" vertical="center"/>
    </xf>
    <xf numFmtId="0" fontId="12" fillId="5" borderId="118" xfId="0" applyFont="1" applyFill="1" applyBorder="1" applyAlignment="1">
      <alignment horizontal="center" vertical="center"/>
    </xf>
    <xf numFmtId="0" fontId="12" fillId="5" borderId="119" xfId="0" applyFont="1" applyFill="1" applyBorder="1" applyAlignment="1">
      <alignment horizontal="center" vertical="center"/>
    </xf>
    <xf numFmtId="0" fontId="12" fillId="5" borderId="120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 wrapText="1"/>
    </xf>
    <xf numFmtId="0" fontId="12" fillId="5" borderId="121" xfId="0" applyFont="1" applyFill="1" applyBorder="1" applyAlignment="1">
      <alignment horizontal="center" vertical="center"/>
    </xf>
    <xf numFmtId="0" fontId="12" fillId="5" borderId="122" xfId="0" applyFont="1" applyFill="1" applyBorder="1" applyAlignment="1">
      <alignment horizontal="center" vertical="center"/>
    </xf>
    <xf numFmtId="0" fontId="12" fillId="5" borderId="123" xfId="0" applyFont="1" applyFill="1" applyBorder="1" applyAlignment="1">
      <alignment horizontal="center" vertical="center"/>
    </xf>
    <xf numFmtId="0" fontId="12" fillId="5" borderId="124" xfId="0" applyFont="1" applyFill="1" applyBorder="1" applyAlignment="1">
      <alignment horizontal="center" vertical="center"/>
    </xf>
    <xf numFmtId="0" fontId="12" fillId="5" borderId="125" xfId="0" applyFont="1" applyFill="1" applyBorder="1" applyAlignment="1">
      <alignment horizontal="center" vertical="center"/>
    </xf>
    <xf numFmtId="0" fontId="12" fillId="5" borderId="126" xfId="0" applyFont="1" applyFill="1" applyBorder="1" applyAlignment="1">
      <alignment horizontal="center" vertical="center"/>
    </xf>
    <xf numFmtId="0" fontId="12" fillId="5" borderId="126" xfId="0" applyFont="1" applyFill="1" applyBorder="1" applyAlignment="1">
      <alignment horizontal="center" vertical="center"/>
    </xf>
    <xf numFmtId="0" fontId="12" fillId="5" borderId="127" xfId="0" applyFont="1" applyFill="1" applyBorder="1" applyAlignment="1">
      <alignment horizontal="center" vertical="center"/>
    </xf>
    <xf numFmtId="0" fontId="12" fillId="5" borderId="128" xfId="0" applyFont="1" applyFill="1" applyBorder="1" applyAlignment="1">
      <alignment horizontal="center" vertical="center"/>
    </xf>
    <xf numFmtId="0" fontId="12" fillId="5" borderId="129" xfId="0" applyFont="1" applyFill="1" applyBorder="1" applyAlignment="1">
      <alignment horizontal="center" vertical="center"/>
    </xf>
    <xf numFmtId="0" fontId="13" fillId="0" borderId="96" xfId="0" applyFont="1" applyBorder="1" applyAlignment="1">
      <alignment horizontal="left" vertical="center"/>
    </xf>
    <xf numFmtId="0" fontId="13" fillId="0" borderId="96" xfId="0" applyFont="1" applyBorder="1" applyAlignment="1">
      <alignment horizontal="left" vertical="center" wrapText="1"/>
    </xf>
    <xf numFmtId="167" fontId="13" fillId="0" borderId="96" xfId="0" applyNumberFormat="1" applyFont="1" applyBorder="1" applyAlignment="1">
      <alignment horizontal="center" vertical="center" wrapText="1"/>
    </xf>
    <xf numFmtId="10" fontId="13" fillId="0" borderId="96" xfId="0" applyNumberFormat="1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102" xfId="0" applyFont="1" applyBorder="1" applyAlignment="1">
      <alignment horizontal="left" vertical="center"/>
    </xf>
    <xf numFmtId="0" fontId="13" fillId="0" borderId="102" xfId="0" applyFont="1" applyBorder="1" applyAlignment="1">
      <alignment horizontal="left" vertical="center" wrapText="1"/>
    </xf>
    <xf numFmtId="167" fontId="13" fillId="0" borderId="102" xfId="0" applyNumberFormat="1" applyFont="1" applyBorder="1" applyAlignment="1">
      <alignment horizontal="center" vertical="center" wrapText="1"/>
    </xf>
    <xf numFmtId="10" fontId="13" fillId="0" borderId="102" xfId="0" applyNumberFormat="1" applyFont="1" applyBorder="1" applyAlignment="1">
      <alignment horizontal="center" vertical="center"/>
    </xf>
    <xf numFmtId="10" fontId="13" fillId="0" borderId="1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97" xfId="0" applyFont="1" applyBorder="1" applyAlignment="1">
      <alignment horizontal="left" vertical="center"/>
    </xf>
    <xf numFmtId="0" fontId="13" fillId="0" borderId="97" xfId="0" applyFont="1" applyBorder="1" applyAlignment="1">
      <alignment horizontal="left" vertical="center" wrapText="1"/>
    </xf>
    <xf numFmtId="167" fontId="13" fillId="0" borderId="97" xfId="0" applyNumberFormat="1" applyFont="1" applyBorder="1" applyAlignment="1">
      <alignment horizontal="center" vertical="center" wrapText="1"/>
    </xf>
    <xf numFmtId="10" fontId="13" fillId="0" borderId="97" xfId="0" applyNumberFormat="1" applyFont="1" applyBorder="1" applyAlignment="1">
      <alignment horizontal="center" vertical="center"/>
    </xf>
    <xf numFmtId="0" fontId="13" fillId="0" borderId="1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0" fontId="13" fillId="0" borderId="130" xfId="0" applyNumberFormat="1" applyFont="1" applyBorder="1" applyAlignment="1">
      <alignment horizontal="center" vertical="center"/>
    </xf>
    <xf numFmtId="10" fontId="13" fillId="0" borderId="131" xfId="0" applyNumberFormat="1" applyFont="1" applyBorder="1" applyAlignment="1">
      <alignment horizontal="center" vertical="center"/>
    </xf>
    <xf numFmtId="10" fontId="13" fillId="0" borderId="132" xfId="0" applyNumberFormat="1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4" fontId="8" fillId="0" borderId="2" xfId="3" applyNumberFormat="1" applyBorder="1" applyAlignment="1">
      <alignment horizontal="center" vertical="center"/>
    </xf>
    <xf numFmtId="14" fontId="8" fillId="11" borderId="2" xfId="3" applyNumberFormat="1" applyFill="1" applyBorder="1" applyAlignment="1">
      <alignment horizontal="center" vertical="center"/>
    </xf>
    <xf numFmtId="14" fontId="8" fillId="12" borderId="2" xfId="3" applyNumberFormat="1" applyFill="1" applyBorder="1" applyAlignment="1">
      <alignment horizontal="center" vertical="center"/>
    </xf>
    <xf numFmtId="0" fontId="12" fillId="4" borderId="124" xfId="0" applyFont="1" applyFill="1" applyBorder="1" applyAlignment="1">
      <alignment horizontal="center" vertical="center"/>
    </xf>
    <xf numFmtId="0" fontId="12" fillId="4" borderId="126" xfId="0" applyFont="1" applyFill="1" applyBorder="1" applyAlignment="1">
      <alignment horizontal="center" vertical="center"/>
    </xf>
    <xf numFmtId="10" fontId="12" fillId="0" borderId="54" xfId="0" applyNumberFormat="1" applyFont="1" applyBorder="1" applyAlignment="1">
      <alignment horizontal="center" vertical="center"/>
    </xf>
    <xf numFmtId="10" fontId="12" fillId="0" borderId="116" xfId="0" applyNumberFormat="1" applyFont="1" applyBorder="1" applyAlignment="1">
      <alignment horizontal="center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10" fontId="12" fillId="0" borderId="23" xfId="0" applyNumberFormat="1" applyFont="1" applyBorder="1" applyAlignment="1">
      <alignment horizontal="center" vertical="center"/>
    </xf>
    <xf numFmtId="10" fontId="12" fillId="0" borderId="25" xfId="0" applyNumberFormat="1" applyFont="1" applyBorder="1" applyAlignment="1">
      <alignment horizontal="center" vertical="center"/>
    </xf>
    <xf numFmtId="10" fontId="12" fillId="0" borderId="82" xfId="0" applyNumberFormat="1" applyFont="1" applyBorder="1" applyAlignment="1">
      <alignment horizontal="center" vertical="center"/>
    </xf>
    <xf numFmtId="14" fontId="13" fillId="0" borderId="116" xfId="0" applyNumberFormat="1" applyFont="1" applyBorder="1" applyAlignment="1">
      <alignment horizontal="center" vertical="center" wrapText="1"/>
    </xf>
    <xf numFmtId="0" fontId="24" fillId="0" borderId="8" xfId="0" applyFont="1" applyBorder="1"/>
    <xf numFmtId="0" fontId="12" fillId="0" borderId="82" xfId="0" applyFont="1" applyFill="1" applyBorder="1" applyAlignment="1">
      <alignment horizontal="center" vertical="center"/>
    </xf>
    <xf numFmtId="0" fontId="12" fillId="0" borderId="51" xfId="0" applyFont="1" applyFill="1" applyBorder="1" applyAlignment="1">
      <alignment horizontal="center" vertical="center"/>
    </xf>
    <xf numFmtId="0" fontId="24" fillId="0" borderId="69" xfId="0" applyFont="1" applyBorder="1"/>
    <xf numFmtId="0" fontId="24" fillId="0" borderId="133" xfId="0" applyFont="1" applyBorder="1"/>
    <xf numFmtId="0" fontId="24" fillId="0" borderId="54" xfId="0" applyFont="1" applyBorder="1" applyAlignment="1">
      <alignment horizontal="center" vertical="center"/>
    </xf>
    <xf numFmtId="14" fontId="24" fillId="0" borderId="102" xfId="0" applyNumberFormat="1" applyFont="1" applyBorder="1" applyAlignment="1">
      <alignment horizontal="center" vertical="center"/>
    </xf>
    <xf numFmtId="14" fontId="24" fillId="0" borderId="116" xfId="0" applyNumberFormat="1" applyFont="1" applyBorder="1" applyAlignment="1">
      <alignment horizontal="center" vertical="center"/>
    </xf>
    <xf numFmtId="0" fontId="24" fillId="0" borderId="42" xfId="0" applyFont="1" applyBorder="1"/>
    <xf numFmtId="0" fontId="24" fillId="0" borderId="43" xfId="0" applyFont="1" applyBorder="1"/>
    <xf numFmtId="0" fontId="12" fillId="0" borderId="52" xfId="0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/>
    </xf>
    <xf numFmtId="0" fontId="1" fillId="0" borderId="2" xfId="3" applyNumberFormat="1" applyFont="1" applyBorder="1"/>
    <xf numFmtId="0" fontId="8" fillId="0" borderId="2" xfId="3" applyNumberFormat="1" applyBorder="1"/>
    <xf numFmtId="0" fontId="24" fillId="0" borderId="134" xfId="0" applyFont="1" applyBorder="1"/>
    <xf numFmtId="0" fontId="24" fillId="0" borderId="135" xfId="0" applyFont="1" applyBorder="1" applyAlignment="1">
      <alignment horizontal="center" vertical="center"/>
    </xf>
    <xf numFmtId="0" fontId="24" fillId="0" borderId="136" xfId="0" applyFont="1" applyBorder="1" applyAlignment="1">
      <alignment horizontal="center" vertical="center"/>
    </xf>
    <xf numFmtId="0" fontId="24" fillId="0" borderId="137" xfId="0" applyFont="1" applyBorder="1"/>
    <xf numFmtId="0" fontId="24" fillId="0" borderId="138" xfId="0" applyFont="1" applyBorder="1" applyAlignment="1">
      <alignment horizontal="center" vertical="center"/>
    </xf>
    <xf numFmtId="10" fontId="8" fillId="12" borderId="2" xfId="3" applyNumberFormat="1" applyFill="1" applyBorder="1" applyAlignment="1">
      <alignment horizontal="center" vertical="center"/>
    </xf>
    <xf numFmtId="10" fontId="0" fillId="12" borderId="2" xfId="5" applyNumberFormat="1" applyFont="1" applyFill="1" applyBorder="1" applyAlignment="1">
      <alignment horizontal="center" vertical="center"/>
    </xf>
    <xf numFmtId="0" fontId="1" fillId="12" borderId="2" xfId="3" applyNumberFormat="1" applyFont="1" applyFill="1" applyBorder="1"/>
    <xf numFmtId="0" fontId="8" fillId="12" borderId="2" xfId="3" applyNumberFormat="1" applyFill="1" applyBorder="1"/>
    <xf numFmtId="0" fontId="6" fillId="12" borderId="2" xfId="3" applyFont="1" applyFill="1" applyBorder="1" applyAlignment="1">
      <alignment horizontal="center" vertical="center"/>
    </xf>
    <xf numFmtId="14" fontId="6" fillId="12" borderId="2" xfId="3" applyNumberFormat="1" applyFont="1" applyFill="1" applyBorder="1" applyAlignment="1">
      <alignment horizontal="center" vertical="center"/>
    </xf>
    <xf numFmtId="0" fontId="3" fillId="12" borderId="2" xfId="3" applyFont="1" applyFill="1" applyBorder="1" applyAlignment="1">
      <alignment horizontal="center" vertical="center"/>
    </xf>
  </cellXfs>
  <cellStyles count="8">
    <cellStyle name="Moneda 2" xfId="4" xr:uid="{D1320C96-E4D8-49ED-B372-F44070FB837E}"/>
    <cellStyle name="Normal" xfId="0" builtinId="0"/>
    <cellStyle name="Normal 2" xfId="1" xr:uid="{00000000-0005-0000-0000-000001000000}"/>
    <cellStyle name="Normal 3" xfId="3" xr:uid="{4AA80466-299D-46F8-9B31-604177BE6B3F}"/>
    <cellStyle name="Normal 4" xfId="6" xr:uid="{7361B082-8347-4F05-8CFF-EBB8F67FE73C}"/>
    <cellStyle name="Porcentaje" xfId="2" builtinId="5"/>
    <cellStyle name="Porcentaje 2" xfId="5" xr:uid="{2B5820DD-CF8D-4082-9667-51093C28BE6F}"/>
    <cellStyle name="Porcentaje 3" xfId="7" xr:uid="{29C43428-6A47-4A7D-9F9D-FE73F5394690}"/>
  </cellStyles>
  <dxfs count="21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rgb="FFE799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rgb="FFBFBFBF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95B3D7"/>
        </patternFill>
      </fill>
    </dxf>
    <dxf>
      <font>
        <b/>
        <i val="0"/>
      </font>
      <fill>
        <patternFill>
          <bgColor rgb="FF95B3D7"/>
        </patternFill>
      </fill>
    </dxf>
    <dxf>
      <font>
        <b/>
        <i val="0"/>
      </font>
      <fill>
        <patternFill>
          <bgColor rgb="FFFABF8F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99"/>
      <color rgb="FFFFFF5B"/>
      <color rgb="FFCCFF99"/>
      <color rgb="FFFFFFCC"/>
      <color rgb="FFE79999"/>
      <color rgb="FFFF9966"/>
      <color rgb="FFEBF1DE"/>
      <color rgb="FFFFFF6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1200"/>
              <a:t>AVANCE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340398251567312"/>
          <c:y val="5.0269687162891034E-2"/>
          <c:w val="0.85992934572738644"/>
          <c:h val="0.9022653721682848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'Resumen Ejecutivo'!$F$50</c:f>
              <c:strCache>
                <c:ptCount val="1"/>
                <c:pt idx="0">
                  <c:v>AVANCE GLOBAL</c:v>
                </c:pt>
              </c:strCache>
            </c:strRef>
          </c:tx>
          <c:spPr>
            <a:gradFill flip="none" rotWithShape="1">
              <a:gsLst>
                <a:gs pos="0">
                  <a:schemeClr val="bg1">
                    <a:lumMod val="50000"/>
                    <a:shade val="30000"/>
                    <a:satMod val="115000"/>
                  </a:schemeClr>
                </a:gs>
                <a:gs pos="50000">
                  <a:schemeClr val="bg1">
                    <a:lumMod val="50000"/>
                    <a:shade val="67500"/>
                    <a:satMod val="115000"/>
                  </a:schemeClr>
                </a:gs>
                <a:gs pos="100000">
                  <a:schemeClr val="bg1">
                    <a:lumMod val="50000"/>
                    <a:shade val="100000"/>
                    <a:satMod val="115000"/>
                  </a:schemeClr>
                </a:gs>
              </a:gsLst>
              <a:path path="circle">
                <a:fillToRect l="100000" b="100000"/>
              </a:path>
              <a:tileRect t="-100000" r="-100000"/>
            </a:gradFill>
            <a:ln w="3175" cap="flat" cmpd="sng" algn="ctr">
              <a:solidFill>
                <a:sysClr val="windowText" lastClr="000000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p3d contourW="3175">
              <a:contourClr>
                <a:sysClr val="windowText" lastClr="000000"/>
              </a:contourClr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Parque</a:t>
                    </a:r>
                  </a:p>
                  <a:p>
                    <a:fld id="{814F1D2B-9BFA-4D5C-A70B-E8351AB53A9B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8BA-4C3A-8B78-D353D6310C1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LT</a:t>
                    </a:r>
                  </a:p>
                  <a:p>
                    <a:fld id="{8FB9AA80-DBBB-47C3-AB85-C5F468D915CE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8BA-4C3A-8B78-D353D6310C1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Global</a:t>
                    </a:r>
                  </a:p>
                  <a:p>
                    <a:fld id="{8E90A936-495E-4A56-8F32-03890D46A9E4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8BA-4C3A-8B78-D353D6310C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'Resumen Ejecutivo'!$K$50:$M$50</c:f>
              <c:numCache>
                <c:formatCode>0.00%</c:formatCode>
                <c:ptCount val="3"/>
                <c:pt idx="0">
                  <c:v>0.64556250000000026</c:v>
                </c:pt>
                <c:pt idx="1">
                  <c:v>0.56068750000000001</c:v>
                </c:pt>
                <c:pt idx="2">
                  <c:v>0.6285875000000003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A-4C3A-8B78-D353D6310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981760543"/>
        <c:axId val="1972892399"/>
        <c:axId val="0"/>
      </c:bar3DChart>
      <c:catAx>
        <c:axId val="1981760543"/>
        <c:scaling>
          <c:orientation val="minMax"/>
        </c:scaling>
        <c:delete val="1"/>
        <c:axPos val="b"/>
        <c:majorTickMark val="none"/>
        <c:minorTickMark val="none"/>
        <c:tickLblPos val="nextTo"/>
        <c:crossAx val="1972892399"/>
        <c:crosses val="autoZero"/>
        <c:auto val="1"/>
        <c:lblAlgn val="ctr"/>
        <c:lblOffset val="100"/>
        <c:noMultiLvlLbl val="0"/>
      </c:catAx>
      <c:valAx>
        <c:axId val="19728923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MX"/>
          </a:p>
        </c:txPr>
        <c:crossAx val="198176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s-MX"/>
              <a:t>GRUPO DE ATENCIÓN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3175" cap="flat" cmpd="sng" algn="ctr">
              <a:solidFill>
                <a:sysClr val="windowText" lastClr="000000"/>
              </a:solidFill>
              <a:round/>
            </a:ln>
            <a:effectLst/>
            <a:sp3d contourW="3175">
              <a:contourClr>
                <a:sysClr val="windowText" lastClr="000000"/>
              </a:contourClr>
            </a:sp3d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00B050">
                      <a:shade val="30000"/>
                      <a:satMod val="115000"/>
                    </a:srgbClr>
                  </a:gs>
                  <a:gs pos="50000">
                    <a:srgbClr val="00B050">
                      <a:shade val="67500"/>
                      <a:satMod val="115000"/>
                    </a:srgbClr>
                  </a:gs>
                  <a:gs pos="100000">
                    <a:srgbClr val="00B050">
                      <a:shade val="100000"/>
                      <a:satMod val="115000"/>
                    </a:srgb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w="3175" cap="flat" cmpd="sng" algn="ctr">
                <a:solidFill>
                  <a:sysClr val="windowText" lastClr="000000"/>
                </a:solidFill>
                <a:round/>
              </a:ln>
              <a:effectLst/>
              <a:sp3d contourW="3175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5EA-4FDE-BFDA-88AFDF23E77E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FF00">
                      <a:shade val="30000"/>
                      <a:satMod val="115000"/>
                    </a:srgbClr>
                  </a:gs>
                  <a:gs pos="50000">
                    <a:srgbClr val="FFFF00">
                      <a:shade val="67500"/>
                      <a:satMod val="115000"/>
                    </a:srgbClr>
                  </a:gs>
                  <a:gs pos="100000">
                    <a:srgbClr val="FFFF00">
                      <a:shade val="100000"/>
                      <a:satMod val="115000"/>
                    </a:srgb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w="3175" cap="flat" cmpd="sng" algn="ctr">
                <a:solidFill>
                  <a:sysClr val="windowText" lastClr="000000"/>
                </a:solidFill>
                <a:round/>
              </a:ln>
              <a:effectLst/>
              <a:sp3d contourW="3175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5EA-4FDE-BFDA-88AFDF23E77E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0000">
                      <a:shade val="30000"/>
                      <a:satMod val="115000"/>
                    </a:srgbClr>
                  </a:gs>
                  <a:gs pos="50000">
                    <a:srgbClr val="FF0000">
                      <a:shade val="67500"/>
                      <a:satMod val="115000"/>
                    </a:srgbClr>
                  </a:gs>
                  <a:gs pos="100000">
                    <a:srgbClr val="FF0000">
                      <a:shade val="100000"/>
                      <a:satMod val="115000"/>
                    </a:srgb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w="3175" cap="flat" cmpd="sng" algn="ctr">
                <a:solidFill>
                  <a:sysClr val="windowText" lastClr="000000"/>
                </a:solidFill>
                <a:round/>
              </a:ln>
              <a:effectLst/>
              <a:sp3d contourW="3175">
                <a:contourClr>
                  <a:sysClr val="windowText" lastClr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EA-4FDE-BFDA-88AFDF23E77E}"/>
              </c:ext>
            </c:extLst>
          </c:dPt>
          <c:dLbls>
            <c:dLbl>
              <c:idx val="0"/>
              <c:layout>
                <c:manualLayout>
                  <c:x val="2.2840827980014248E-2"/>
                  <c:y val="-3.426124197002149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Grupo</a:t>
                    </a:r>
                    <a:r>
                      <a:rPr lang="en-US" baseline="0"/>
                      <a:t> A</a:t>
                    </a:r>
                    <a:endParaRPr lang="en-US"/>
                  </a:p>
                  <a:p>
                    <a:fld id="{FCB8E7CE-D058-42E5-A1EB-779C1274993C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5EA-4FDE-BFDA-88AFDF23E77E}"/>
                </c:ext>
              </c:extLst>
            </c:dLbl>
            <c:dLbl>
              <c:idx val="1"/>
              <c:layout>
                <c:manualLayout>
                  <c:x val="2.8551034975018369E-3"/>
                  <c:y val="-2.99785867237687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Grupo B</a:t>
                    </a:r>
                  </a:p>
                  <a:p>
                    <a:fld id="{D20EE90E-5868-4A59-8A54-3349FAAF11E0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5EA-4FDE-BFDA-88AFDF23E7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  <a:p>
                    <a:r>
                      <a:rPr lang="en-US"/>
                      <a:t>Grupo C</a:t>
                    </a:r>
                  </a:p>
                  <a:p>
                    <a:fld id="{6F7EFFD5-F70B-4477-BBA4-5041DC5D91B3}" type="VALUE">
                      <a:rPr lang="en-US"/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5EA-4FDE-BFDA-88AFDF23E7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Ejecutivo'!$R$9:$R$11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'Resumen Ejecutivo'!$S$9:$S$11</c:f>
              <c:numCache>
                <c:formatCode>General</c:formatCode>
                <c:ptCount val="3"/>
                <c:pt idx="0">
                  <c:v>7</c:v>
                </c:pt>
                <c:pt idx="1">
                  <c:v>10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A-4FDE-BFDA-88AFDF23E7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979623567"/>
        <c:axId val="1972878959"/>
        <c:axId val="0"/>
      </c:bar3DChart>
      <c:catAx>
        <c:axId val="1979623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2878959"/>
        <c:crosses val="autoZero"/>
        <c:auto val="1"/>
        <c:lblAlgn val="ctr"/>
        <c:lblOffset val="100"/>
        <c:noMultiLvlLbl val="0"/>
      </c:catAx>
      <c:valAx>
        <c:axId val="19728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MX"/>
          </a:p>
        </c:txPr>
        <c:crossAx val="197962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352424</xdr:colOff>
      <xdr:row>1</xdr:row>
      <xdr:rowOff>47625</xdr:rowOff>
    </xdr:from>
    <xdr:to>
      <xdr:col>3</xdr:col>
      <xdr:colOff>1323046</xdr:colOff>
      <xdr:row>4</xdr:row>
      <xdr:rowOff>133350</xdr:rowOff>
    </xdr:to>
    <xdr:pic>
      <xdr:nvPicPr>
        <xdr:cNvPr id="5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E99506A5-7EEC-406B-B1BC-E5643F247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4" y="228600"/>
          <a:ext cx="2542247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19051</xdr:colOff>
      <xdr:row>51</xdr:row>
      <xdr:rowOff>19049</xdr:rowOff>
    </xdr:from>
    <xdr:to>
      <xdr:col>4</xdr:col>
      <xdr:colOff>968114</xdr:colOff>
      <xdr:row>68</xdr:row>
      <xdr:rowOff>110424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3843EC-7283-5DB8-844C-2D6E5D886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1015999</xdr:colOff>
      <xdr:row>51</xdr:row>
      <xdr:rowOff>15873</xdr:rowOff>
    </xdr:from>
    <xdr:to>
      <xdr:col>15</xdr:col>
      <xdr:colOff>7624</xdr:colOff>
      <xdr:row>68</xdr:row>
      <xdr:rowOff>107248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BED02F-91BB-3163-EA8E-8EB4C21EE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352424</xdr:colOff>
      <xdr:row>1</xdr:row>
      <xdr:rowOff>47625</xdr:rowOff>
    </xdr:from>
    <xdr:to>
      <xdr:col>3</xdr:col>
      <xdr:colOff>1323046</xdr:colOff>
      <xdr:row>4</xdr:row>
      <xdr:rowOff>133350</xdr:rowOff>
    </xdr:to>
    <xdr:pic>
      <xdr:nvPicPr>
        <xdr:cNvPr id="2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8A041827-96E4-4E8B-85B6-9711155B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9" y="133350"/>
          <a:ext cx="2542247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111919</xdr:colOff>
      <xdr:row>1</xdr:row>
      <xdr:rowOff>23811</xdr:rowOff>
    </xdr:from>
    <xdr:to>
      <xdr:col>5</xdr:col>
      <xdr:colOff>629516</xdr:colOff>
      <xdr:row>5</xdr:row>
      <xdr:rowOff>297656</xdr:rowOff>
    </xdr:to>
    <xdr:pic>
      <xdr:nvPicPr>
        <xdr:cNvPr id="4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1AB7C484-F946-4B3E-9F66-73A241241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07" y="190499"/>
          <a:ext cx="4791940" cy="98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AF97-A91F-4115-9A98-6C206A130AA0}">
  <sheetPr>
    <tabColor rgb="FF0070C0"/>
    <pageSetUpPr fitToPage="1"/>
  </sheetPr>
  <dimension ref="B1:S93"/>
  <sheetViews>
    <sheetView zoomScaleNormal="100" zoomScaleSheetLayoutView="80" workbookViewId="0">
      <selection activeCell="H9" sqref="C9:M48"/>
    </sheetView>
  </sheetViews>
  <sheetFormatPr baseColWidth="10" defaultColWidth="11.42578125" defaultRowHeight="13.5" x14ac:dyDescent="0.25"/>
  <cols>
    <col min="1" max="1" width="3" style="2" customWidth="1"/>
    <col min="2" max="2" width="2.42578125" style="2" bestFit="1" customWidth="1"/>
    <col min="3" max="3" width="23.5703125" style="3" bestFit="1" customWidth="1"/>
    <col min="4" max="4" width="39.42578125" style="2" bestFit="1" customWidth="1"/>
    <col min="5" max="5" width="24.28515625" style="2" bestFit="1" customWidth="1"/>
    <col min="6" max="6" width="14.5703125" style="2" bestFit="1" customWidth="1"/>
    <col min="7" max="7" width="10.28515625" style="2" bestFit="1" customWidth="1"/>
    <col min="8" max="8" width="19" style="2" customWidth="1"/>
    <col min="9" max="10" width="10.28515625" style="2" customWidth="1"/>
    <col min="11" max="13" width="10.140625" style="2" customWidth="1"/>
    <col min="14" max="14" width="1.140625" style="2" customWidth="1"/>
    <col min="15" max="15" width="10.140625" style="2" customWidth="1"/>
    <col min="16" max="16" width="1.140625" style="2" customWidth="1"/>
    <col min="17" max="17" width="11.42578125" style="2"/>
    <col min="18" max="18" width="3" style="2" customWidth="1"/>
    <col min="19" max="19" width="3.28515625" style="2" customWidth="1"/>
    <col min="20" max="16384" width="11.42578125" style="2"/>
  </cols>
  <sheetData>
    <row r="1" spans="2:19" ht="6.75" customHeight="1" thickBot="1" x14ac:dyDescent="0.3"/>
    <row r="2" spans="2:19" x14ac:dyDescent="0.25">
      <c r="C2" s="31"/>
      <c r="D2" s="34"/>
      <c r="E2" s="202" t="str">
        <f>+'Base de Datos'!AB2</f>
        <v>COMISIÓN FEDERAL DE ELECTRICIDAD</v>
      </c>
      <c r="F2" s="203"/>
      <c r="G2" s="203"/>
      <c r="H2" s="203"/>
      <c r="I2" s="203"/>
      <c r="J2" s="203"/>
      <c r="K2" s="203"/>
      <c r="L2" s="203"/>
      <c r="M2" s="203"/>
      <c r="N2" s="204"/>
      <c r="O2" s="37" t="s">
        <v>0</v>
      </c>
    </row>
    <row r="3" spans="2:19" x14ac:dyDescent="0.25">
      <c r="C3" s="32"/>
      <c r="D3" s="35"/>
      <c r="E3" s="205" t="str">
        <f>+'Base de Datos'!AB3</f>
        <v>COORDINACIÓN DE PROYECTOS DE ENERGÍAS LIMPIAS</v>
      </c>
      <c r="F3" s="206"/>
      <c r="G3" s="206"/>
      <c r="H3" s="206"/>
      <c r="I3" s="206"/>
      <c r="J3" s="206"/>
      <c r="K3" s="206"/>
      <c r="L3" s="206"/>
      <c r="M3" s="206"/>
      <c r="N3" s="207"/>
      <c r="O3" s="38">
        <v>3</v>
      </c>
    </row>
    <row r="4" spans="2:19" ht="14.25" thickBot="1" x14ac:dyDescent="0.3">
      <c r="C4" s="32"/>
      <c r="D4" s="35"/>
      <c r="E4" s="205" t="str">
        <f>+'Base de Datos'!AB4</f>
        <v>GERENCIA DE CONSTRUCCIÓN</v>
      </c>
      <c r="F4" s="206"/>
      <c r="G4" s="206"/>
      <c r="H4" s="206"/>
      <c r="I4" s="206"/>
      <c r="J4" s="206"/>
      <c r="K4" s="206"/>
      <c r="L4" s="206"/>
      <c r="M4" s="206"/>
      <c r="N4" s="207"/>
      <c r="O4" s="43">
        <f ca="1">TODAY()</f>
        <v>46325</v>
      </c>
    </row>
    <row r="5" spans="2:19" ht="16.5" thickBot="1" x14ac:dyDescent="0.3">
      <c r="C5" s="33"/>
      <c r="D5" s="36"/>
      <c r="E5" s="208" t="s">
        <v>1</v>
      </c>
      <c r="F5" s="209"/>
      <c r="G5" s="209"/>
      <c r="H5" s="209"/>
      <c r="I5" s="209"/>
      <c r="J5" s="209"/>
      <c r="K5" s="209"/>
      <c r="L5" s="209"/>
      <c r="M5" s="209"/>
      <c r="N5" s="209"/>
      <c r="O5" s="44"/>
    </row>
    <row r="6" spans="2:19" ht="6" customHeight="1" thickBot="1" x14ac:dyDescent="0.3"/>
    <row r="7" spans="2:19" ht="13.5" customHeight="1" x14ac:dyDescent="0.25">
      <c r="C7" s="96" t="s">
        <v>2</v>
      </c>
      <c r="D7" s="95" t="s">
        <v>3</v>
      </c>
      <c r="E7" s="95" t="s">
        <v>4</v>
      </c>
      <c r="F7" s="95" t="s">
        <v>5</v>
      </c>
      <c r="G7" s="94" t="s">
        <v>6</v>
      </c>
      <c r="H7" s="160" t="s">
        <v>7</v>
      </c>
      <c r="I7" s="92" t="s">
        <v>8</v>
      </c>
      <c r="J7" s="93" t="s">
        <v>9</v>
      </c>
      <c r="K7" s="227" t="s">
        <v>10</v>
      </c>
      <c r="L7" s="228"/>
      <c r="M7" s="229"/>
      <c r="O7" s="216" t="s">
        <v>11</v>
      </c>
    </row>
    <row r="8" spans="2:19" ht="14.25" customHeight="1" thickBot="1" x14ac:dyDescent="0.3">
      <c r="C8" s="99"/>
      <c r="D8" s="100"/>
      <c r="E8" s="100"/>
      <c r="F8" s="100"/>
      <c r="G8" s="101"/>
      <c r="H8" s="102"/>
      <c r="I8" s="103"/>
      <c r="J8" s="104"/>
      <c r="K8" s="40" t="s">
        <v>12</v>
      </c>
      <c r="L8" s="41" t="s">
        <v>13</v>
      </c>
      <c r="M8" s="42" t="s">
        <v>14</v>
      </c>
      <c r="O8" s="217"/>
    </row>
    <row r="9" spans="2:19" ht="14.25" thickBot="1" x14ac:dyDescent="0.3">
      <c r="B9" s="30">
        <v>1</v>
      </c>
      <c r="C9" s="89" t="str">
        <f>+'Base de Datos'!C23</f>
        <v>Cúbico</v>
      </c>
      <c r="D9" s="76" t="str">
        <f>+'Base de Datos'!D23</f>
        <v>Energías Renovables de Tamaulipas (Altamira)</v>
      </c>
      <c r="E9" s="76" t="str">
        <f>+'Base de Datos'!E23</f>
        <v>Altamira</v>
      </c>
      <c r="F9" s="76" t="str">
        <f>+'Base de Datos'!F23</f>
        <v xml:space="preserve"> Tamaulipas</v>
      </c>
      <c r="G9" s="77" t="str">
        <f>+'Base de Datos'!G23</f>
        <v>Fotovoltaica</v>
      </c>
      <c r="H9" s="69" t="str">
        <f>+'Base de Datos'!H23</f>
        <v>78 MW + 30% BESS</v>
      </c>
      <c r="I9" s="70">
        <f>+'Base de Datos'!I23</f>
        <v>46388</v>
      </c>
      <c r="J9" s="71">
        <f>+'Base de Datos'!J23</f>
        <v>46935</v>
      </c>
      <c r="K9" s="45">
        <f>+'Base de Datos'!AD23</f>
        <v>0.94000000000000017</v>
      </c>
      <c r="L9" s="46">
        <f>+'Base de Datos'!AE23</f>
        <v>0.93000000000000016</v>
      </c>
      <c r="M9" s="47">
        <f>+'Base de Datos'!AG23</f>
        <v>0.93800000000000028</v>
      </c>
      <c r="O9" s="97" t="str">
        <f>IF(K9&gt;=85%,"A",IF(K9&gt;=76%,"B","C"))</f>
        <v>A</v>
      </c>
      <c r="Q9" s="1"/>
      <c r="R9" s="10" t="s">
        <v>15</v>
      </c>
      <c r="S9" s="10">
        <f>COUNTIFS($O$9:$O$48,R9)</f>
        <v>7</v>
      </c>
    </row>
    <row r="10" spans="2:19" ht="14.25" thickBot="1" x14ac:dyDescent="0.3">
      <c r="B10" s="30">
        <f t="shared" ref="B10:B48" si="0">1+B9</f>
        <v>2</v>
      </c>
      <c r="C10" s="90" t="str">
        <f>+'Base de Datos'!C34</f>
        <v>Fisterra</v>
      </c>
      <c r="D10" s="78" t="str">
        <f>+'Base de Datos'!D34</f>
        <v>San Simón Solar</v>
      </c>
      <c r="E10" s="78" t="str">
        <f>+'Base de Datos'!E34</f>
        <v>San Quintín</v>
      </c>
      <c r="F10" s="78" t="str">
        <f>+'Base de Datos'!F34</f>
        <v xml:space="preserve"> Baja California</v>
      </c>
      <c r="G10" s="79" t="str">
        <f>+'Base de Datos'!G34</f>
        <v>Fotovoltaica</v>
      </c>
      <c r="H10" s="72" t="str">
        <f>+'Base de Datos'!H34</f>
        <v>80 MW + 30% BESS</v>
      </c>
      <c r="I10" s="73">
        <f>+'Base de Datos'!I34</f>
        <v>46341</v>
      </c>
      <c r="J10" s="74">
        <f>+'Base de Datos'!J34</f>
        <v>47118</v>
      </c>
      <c r="K10" s="48">
        <f>+'Base de Datos'!AD34</f>
        <v>0.94000000000000006</v>
      </c>
      <c r="L10" s="49">
        <f>+'Base de Datos'!AE34</f>
        <v>0.93</v>
      </c>
      <c r="M10" s="50">
        <f>+'Base de Datos'!AG34</f>
        <v>0.93800000000000017</v>
      </c>
      <c r="O10" s="97" t="str">
        <f t="shared" ref="O10:O48" si="1">IF(K10&gt;=85%,"A",IF(K10&gt;=76%,"B","C"))</f>
        <v>A</v>
      </c>
      <c r="R10" s="10" t="s">
        <v>16</v>
      </c>
      <c r="S10" s="10">
        <f>COUNTIFS($O$9:$O$48,R10)</f>
        <v>10</v>
      </c>
    </row>
    <row r="11" spans="2:19" ht="14.25" thickBot="1" x14ac:dyDescent="0.3">
      <c r="B11" s="30">
        <f t="shared" si="0"/>
        <v>3</v>
      </c>
      <c r="C11" s="90" t="str">
        <f>+'Base de Datos'!C28</f>
        <v>Elawan Wind Mexico III</v>
      </c>
      <c r="D11" s="78" t="str">
        <f>+'Base de Datos'!D28</f>
        <v>San Pedro Solar</v>
      </c>
      <c r="E11" s="78" t="str">
        <f>+'Base de Datos'!E28</f>
        <v>Huimalpan</v>
      </c>
      <c r="F11" s="78" t="str">
        <f>+'Base de Datos'!F28</f>
        <v xml:space="preserve"> Querétaro</v>
      </c>
      <c r="G11" s="79" t="str">
        <f>+'Base de Datos'!G28</f>
        <v>Fotovoltaica</v>
      </c>
      <c r="H11" s="72" t="str">
        <f>+'Base de Datos'!H28</f>
        <v>98.2 MW + 30% BESS</v>
      </c>
      <c r="I11" s="73">
        <f>+'Base de Datos'!I28</f>
        <v>46447</v>
      </c>
      <c r="J11" s="74">
        <f>+'Base de Datos'!J28</f>
        <v>46843</v>
      </c>
      <c r="K11" s="48">
        <f>+'Base de Datos'!AD28</f>
        <v>0.91500000000000015</v>
      </c>
      <c r="L11" s="49">
        <f>+'Base de Datos'!AE28</f>
        <v>0.86000000000000021</v>
      </c>
      <c r="M11" s="50">
        <f>+'Base de Datos'!AG28</f>
        <v>0.90400000000000025</v>
      </c>
      <c r="O11" s="97" t="str">
        <f t="shared" si="1"/>
        <v>A</v>
      </c>
      <c r="R11" s="10" t="s">
        <v>17</v>
      </c>
      <c r="S11" s="10">
        <f>COUNTIFS($O$9:$O$48,R11)</f>
        <v>23</v>
      </c>
    </row>
    <row r="12" spans="2:19" ht="14.25" thickBot="1" x14ac:dyDescent="0.3">
      <c r="B12" s="30">
        <f t="shared" si="0"/>
        <v>4</v>
      </c>
      <c r="C12" s="90" t="str">
        <f>+'Base de Datos'!C14</f>
        <v>Alten</v>
      </c>
      <c r="D12" s="78" t="str">
        <f>+'Base de Datos'!D14</f>
        <v>Global Solar 3 Campeche</v>
      </c>
      <c r="E12" s="78" t="str">
        <f>+'Base de Datos'!E14</f>
        <v>El Carmen</v>
      </c>
      <c r="F12" s="78" t="str">
        <f>+'Base de Datos'!F14</f>
        <v xml:space="preserve"> Campeche</v>
      </c>
      <c r="G12" s="79" t="str">
        <f>+'Base de Datos'!G14</f>
        <v>Fotovoltaica</v>
      </c>
      <c r="H12" s="72" t="str">
        <f>+'Base de Datos'!H14</f>
        <v>125 MW + 30.00% BESS</v>
      </c>
      <c r="I12" s="73">
        <f>+'Base de Datos'!I14</f>
        <v>46388</v>
      </c>
      <c r="J12" s="74">
        <f>+'Base de Datos'!J14</f>
        <v>46935</v>
      </c>
      <c r="K12" s="48">
        <f>+'Base de Datos'!AD14</f>
        <v>0.87500000000000022</v>
      </c>
      <c r="L12" s="49">
        <f>+'Base de Datos'!AE14</f>
        <v>0.80000000000000027</v>
      </c>
      <c r="M12" s="50">
        <f>+'Base de Datos'!AG14</f>
        <v>0.86000000000000021</v>
      </c>
      <c r="O12" s="97" t="str">
        <f t="shared" si="1"/>
        <v>A</v>
      </c>
    </row>
    <row r="13" spans="2:19" ht="14.25" thickBot="1" x14ac:dyDescent="0.3">
      <c r="B13" s="30">
        <f t="shared" si="0"/>
        <v>5</v>
      </c>
      <c r="C13" s="90" t="str">
        <f>+'Base de Datos'!C42</f>
        <v>Selka Power</v>
      </c>
      <c r="D13" s="78" t="str">
        <f>+'Base de Datos'!D42</f>
        <v>Selka Power Plant 1</v>
      </c>
      <c r="E13" s="78" t="str">
        <f>+'Base de Datos'!E42</f>
        <v>Romita</v>
      </c>
      <c r="F13" s="78" t="str">
        <f>+'Base de Datos'!F42</f>
        <v xml:space="preserve"> Guanajuato</v>
      </c>
      <c r="G13" s="79" t="str">
        <f>+'Base de Datos'!G42</f>
        <v>Fotovoltaica</v>
      </c>
      <c r="H13" s="72" t="str">
        <f>+'Base de Datos'!H42</f>
        <v>141.4 MW + 30% BESS</v>
      </c>
      <c r="I13" s="73">
        <f>+'Base de Datos'!I42</f>
        <v>46357</v>
      </c>
      <c r="J13" s="74">
        <f>+'Base de Datos'!J42</f>
        <v>46905</v>
      </c>
      <c r="K13" s="48">
        <f>+'Base de Datos'!AD42</f>
        <v>0.86500000000000021</v>
      </c>
      <c r="L13" s="49">
        <f>+'Base de Datos'!AE42</f>
        <v>0.37</v>
      </c>
      <c r="M13" s="50">
        <f>+'Base de Datos'!AG42</f>
        <v>0.76600000000000013</v>
      </c>
      <c r="O13" s="97" t="str">
        <f t="shared" si="1"/>
        <v>A</v>
      </c>
    </row>
    <row r="14" spans="2:19" ht="14.25" thickBot="1" x14ac:dyDescent="0.3">
      <c r="B14" s="30">
        <f t="shared" si="0"/>
        <v>6</v>
      </c>
      <c r="C14" s="90" t="str">
        <f>+'Base de Datos'!C39</f>
        <v>Polaris</v>
      </c>
      <c r="D14" s="78" t="str">
        <f>+'Base de Datos'!D39</f>
        <v>Don Humberto</v>
      </c>
      <c r="E14" s="78" t="str">
        <f>+'Base de Datos'!E39</f>
        <v>Culiacán</v>
      </c>
      <c r="F14" s="78" t="str">
        <f>+'Base de Datos'!F39</f>
        <v xml:space="preserve"> Sinaloa</v>
      </c>
      <c r="G14" s="79" t="str">
        <f>+'Base de Datos'!G39</f>
        <v>Fotovoltaica</v>
      </c>
      <c r="H14" s="72" t="str">
        <f>+'Base de Datos'!H39</f>
        <v>19.2 MW + 30% BESS</v>
      </c>
      <c r="I14" s="73">
        <f>+'Base de Datos'!I39</f>
        <v>46327</v>
      </c>
      <c r="J14" s="74">
        <f>+'Base de Datos'!J39</f>
        <v>46844</v>
      </c>
      <c r="K14" s="48">
        <f>+'Base de Datos'!AD39</f>
        <v>0.86000000000000021</v>
      </c>
      <c r="L14" s="49">
        <f>+'Base de Datos'!AE39</f>
        <v>0.77000000000000013</v>
      </c>
      <c r="M14" s="50">
        <f>+'Base de Datos'!AG39</f>
        <v>0.84200000000000019</v>
      </c>
      <c r="O14" s="97" t="str">
        <f t="shared" si="1"/>
        <v>A</v>
      </c>
    </row>
    <row r="15" spans="2:19" ht="14.25" thickBot="1" x14ac:dyDescent="0.3">
      <c r="B15" s="30">
        <f t="shared" si="0"/>
        <v>7</v>
      </c>
      <c r="C15" s="90" t="str">
        <f>+'Base de Datos'!C47</f>
        <v>Thermion</v>
      </c>
      <c r="D15" s="78" t="str">
        <f>+'Base de Datos'!D47</f>
        <v>Los Molinos</v>
      </c>
      <c r="E15" s="78" t="str">
        <f>+'Base de Datos'!E47</f>
        <v>Matamoros</v>
      </c>
      <c r="F15" s="78" t="str">
        <f>+'Base de Datos'!F47</f>
        <v xml:space="preserve"> Tamaulipas</v>
      </c>
      <c r="G15" s="79" t="str">
        <f>+'Base de Datos'!G47</f>
        <v>Eólica</v>
      </c>
      <c r="H15" s="72" t="str">
        <f>+'Base de Datos'!H47</f>
        <v>171 MW + 30% BESS</v>
      </c>
      <c r="I15" s="73">
        <f>+'Base de Datos'!I47</f>
        <v>46371</v>
      </c>
      <c r="J15" s="74">
        <f>+'Base de Datos'!J47</f>
        <v>47088</v>
      </c>
      <c r="K15" s="48">
        <f>+'Base de Datos'!AD47</f>
        <v>0.8550000000000002</v>
      </c>
      <c r="L15" s="49">
        <f>+'Base de Datos'!AE47</f>
        <v>0.8550000000000002</v>
      </c>
      <c r="M15" s="50">
        <f>+'Base de Datos'!AG47</f>
        <v>0.8550000000000002</v>
      </c>
      <c r="O15" s="97" t="str">
        <f t="shared" si="1"/>
        <v>A</v>
      </c>
    </row>
    <row r="16" spans="2:19" ht="14.25" thickBot="1" x14ac:dyDescent="0.3">
      <c r="B16" s="30">
        <f t="shared" si="0"/>
        <v>8</v>
      </c>
      <c r="C16" s="90" t="str">
        <f>+'Base de Datos'!C32</f>
        <v>Fisterra</v>
      </c>
      <c r="D16" s="78" t="str">
        <f>+'Base de Datos'!D32</f>
        <v>Haab Kiin</v>
      </c>
      <c r="E16" s="78" t="str">
        <f>+'Base de Datos'!E32</f>
        <v>Umán</v>
      </c>
      <c r="F16" s="78" t="str">
        <f>+'Base de Datos'!F32</f>
        <v xml:space="preserve"> Yucatán</v>
      </c>
      <c r="G16" s="79" t="str">
        <f>+'Base de Datos'!G32</f>
        <v>Fotovoltaica</v>
      </c>
      <c r="H16" s="72" t="str">
        <f>+'Base de Datos'!H32</f>
        <v>123.2 MW + 30% BESS</v>
      </c>
      <c r="I16" s="73">
        <f>+'Base de Datos'!I32</f>
        <v>46356</v>
      </c>
      <c r="J16" s="74">
        <f>+'Base de Datos'!J32</f>
        <v>47208</v>
      </c>
      <c r="K16" s="48">
        <f>+'Base de Datos'!AD32</f>
        <v>0.84000000000000019</v>
      </c>
      <c r="L16" s="49">
        <f>+'Base de Datos'!AE32</f>
        <v>0.73500000000000021</v>
      </c>
      <c r="M16" s="50">
        <f>+'Base de Datos'!AG32</f>
        <v>0.81900000000000017</v>
      </c>
      <c r="O16" s="97" t="str">
        <f t="shared" si="1"/>
        <v>B</v>
      </c>
    </row>
    <row r="17" spans="2:15" ht="14.25" thickBot="1" x14ac:dyDescent="0.3">
      <c r="B17" s="30">
        <f t="shared" si="0"/>
        <v>9</v>
      </c>
      <c r="C17" s="90" t="str">
        <f>+'Base de Datos'!C17</f>
        <v>Atlas Renewable Energy</v>
      </c>
      <c r="D17" s="78" t="str">
        <f>+'Base de Datos'!D17</f>
        <v>Concepción Mendizábal M. - Fase I</v>
      </c>
      <c r="E17" s="78" t="str">
        <f>+'Base de Datos'!E17</f>
        <v>Nava</v>
      </c>
      <c r="F17" s="78" t="str">
        <f>+'Base de Datos'!F17</f>
        <v xml:space="preserve"> Coahuila</v>
      </c>
      <c r="G17" s="79" t="str">
        <f>+'Base de Datos'!G17</f>
        <v>Fotovoltaica</v>
      </c>
      <c r="H17" s="72" t="str">
        <f>+'Base de Datos'!H17</f>
        <v>339 MW + 30.00% BESS</v>
      </c>
      <c r="I17" s="73">
        <f>+'Base de Datos'!I17</f>
        <v>46478</v>
      </c>
      <c r="J17" s="74">
        <f>+'Base de Datos'!J17</f>
        <v>47209</v>
      </c>
      <c r="K17" s="48">
        <f>+'Base de Datos'!AD17</f>
        <v>0.83750000000000013</v>
      </c>
      <c r="L17" s="49">
        <f>+'Base de Datos'!AE17</f>
        <v>0.83750000000000013</v>
      </c>
      <c r="M17" s="50">
        <f>+'Base de Datos'!AG17</f>
        <v>0.83750000000000013</v>
      </c>
      <c r="O17" s="97" t="str">
        <f t="shared" si="1"/>
        <v>B</v>
      </c>
    </row>
    <row r="18" spans="2:15" ht="14.25" thickBot="1" x14ac:dyDescent="0.3">
      <c r="B18" s="30">
        <f t="shared" si="0"/>
        <v>10</v>
      </c>
      <c r="C18" s="90" t="str">
        <f>+'Base de Datos'!C18</f>
        <v>Atlas Renewable Energy</v>
      </c>
      <c r="D18" s="78" t="str">
        <f>+'Base de Datos'!D18</f>
        <v>Concepción Mendizábal M. - Fase II</v>
      </c>
      <c r="E18" s="78" t="str">
        <f>+'Base de Datos'!E18</f>
        <v>Nava</v>
      </c>
      <c r="F18" s="78" t="str">
        <f>+'Base de Datos'!F18</f>
        <v xml:space="preserve"> Coahuila</v>
      </c>
      <c r="G18" s="79" t="str">
        <f>+'Base de Datos'!G18</f>
        <v>Fotovoltaica</v>
      </c>
      <c r="H18" s="72" t="str">
        <f>+'Base de Datos'!H18</f>
        <v>180 MW + 30.00% BESS</v>
      </c>
      <c r="I18" s="73">
        <f>+'Base de Datos'!I18</f>
        <v>46478</v>
      </c>
      <c r="J18" s="74">
        <f>+'Base de Datos'!J18</f>
        <v>47209</v>
      </c>
      <c r="K18" s="48">
        <f>+'Base de Datos'!AD18</f>
        <v>0.83750000000000013</v>
      </c>
      <c r="L18" s="49">
        <f>+'Base de Datos'!AE18</f>
        <v>0.83750000000000013</v>
      </c>
      <c r="M18" s="50">
        <f>+'Base de Datos'!AG18</f>
        <v>0.83750000000000013</v>
      </c>
      <c r="O18" s="97" t="str">
        <f t="shared" si="1"/>
        <v>B</v>
      </c>
    </row>
    <row r="19" spans="2:15" ht="14.25" thickBot="1" x14ac:dyDescent="0.3">
      <c r="B19" s="30">
        <f t="shared" si="0"/>
        <v>11</v>
      </c>
      <c r="C19" s="90" t="str">
        <f>+'Base de Datos'!C45</f>
        <v>Thermion</v>
      </c>
      <c r="D19" s="80" t="str">
        <f>+'Base de Datos'!D45</f>
        <v>Delaro (*)</v>
      </c>
      <c r="E19" s="78" t="str">
        <f>+'Base de Datos'!E45</f>
        <v>Reynosa</v>
      </c>
      <c r="F19" s="78" t="str">
        <f>+'Base de Datos'!F45</f>
        <v xml:space="preserve"> Tamaulipas</v>
      </c>
      <c r="G19" s="79" t="str">
        <f>+'Base de Datos'!G45</f>
        <v>Eólica</v>
      </c>
      <c r="H19" s="75" t="str">
        <f>+'Base de Datos'!H45</f>
        <v>117 MW + 30% BESS</v>
      </c>
      <c r="I19" s="83" t="str">
        <f>+'Base de Datos'!I45</f>
        <v>SIN DATO</v>
      </c>
      <c r="J19" s="84" t="str">
        <f>+'Base de Datos'!J45</f>
        <v>SIN DATO</v>
      </c>
      <c r="K19" s="48">
        <f>+'Base de Datos'!AD45</f>
        <v>0.83000000000000007</v>
      </c>
      <c r="L19" s="49">
        <f>+'Base de Datos'!AE45</f>
        <v>0.83000000000000007</v>
      </c>
      <c r="M19" s="50">
        <f>+'Base de Datos'!AG45</f>
        <v>0.83000000000000018</v>
      </c>
      <c r="O19" s="97" t="str">
        <f t="shared" si="1"/>
        <v>B</v>
      </c>
    </row>
    <row r="20" spans="2:15" ht="14.25" thickBot="1" x14ac:dyDescent="0.3">
      <c r="B20" s="30">
        <f t="shared" si="0"/>
        <v>12</v>
      </c>
      <c r="C20" s="90" t="str">
        <f>+'Base de Datos'!C19</f>
        <v>Atlas Renewable Energy</v>
      </c>
      <c r="D20" s="78" t="str">
        <f>+'Base de Datos'!D19</f>
        <v>Concepción Mendizábal M. - Fase III</v>
      </c>
      <c r="E20" s="78" t="str">
        <f>+'Base de Datos'!E19</f>
        <v>Nava</v>
      </c>
      <c r="F20" s="78" t="str">
        <f>+'Base de Datos'!F19</f>
        <v xml:space="preserve"> Coahuila</v>
      </c>
      <c r="G20" s="79" t="str">
        <f>+'Base de Datos'!G19</f>
        <v>Fotovoltaica</v>
      </c>
      <c r="H20" s="72" t="str">
        <f>+'Base de Datos'!H19</f>
        <v>339 MW + 30.00% BESS</v>
      </c>
      <c r="I20" s="73">
        <f>+'Base de Datos'!I19</f>
        <v>46478</v>
      </c>
      <c r="J20" s="74">
        <f>+'Base de Datos'!J19</f>
        <v>47209</v>
      </c>
      <c r="K20" s="48">
        <f>+'Base de Datos'!AD19</f>
        <v>0.82750000000000012</v>
      </c>
      <c r="L20" s="49">
        <f>+'Base de Datos'!AE19</f>
        <v>0.82750000000000012</v>
      </c>
      <c r="M20" s="50">
        <f>+'Base de Datos'!AG19</f>
        <v>0.82750000000000012</v>
      </c>
      <c r="O20" s="97" t="str">
        <f t="shared" si="1"/>
        <v>B</v>
      </c>
    </row>
    <row r="21" spans="2:15" ht="14.25" thickBot="1" x14ac:dyDescent="0.3">
      <c r="B21" s="30">
        <f t="shared" si="0"/>
        <v>13</v>
      </c>
      <c r="C21" s="90" t="str">
        <f>+'Base de Datos'!C37</f>
        <v>Grupo ZML</v>
      </c>
      <c r="D21" s="78" t="str">
        <f>+'Base de Datos'!D37</f>
        <v>Álvaro Obregón</v>
      </c>
      <c r="E21" s="78" t="str">
        <f>+'Base de Datos'!E37</f>
        <v>La Paz</v>
      </c>
      <c r="F21" s="78" t="str">
        <f>+'Base de Datos'!F37</f>
        <v xml:space="preserve"> Baja California Sur</v>
      </c>
      <c r="G21" s="79" t="str">
        <f>+'Base de Datos'!G37</f>
        <v>Fotovoltaica</v>
      </c>
      <c r="H21" s="72" t="str">
        <f>+'Base de Datos'!H37</f>
        <v>90 MW + 100% BESS</v>
      </c>
      <c r="I21" s="73">
        <f>+'Base de Datos'!I37</f>
        <v>46507</v>
      </c>
      <c r="J21" s="74">
        <f>+'Base de Datos'!J37</f>
        <v>47054</v>
      </c>
      <c r="K21" s="48">
        <f>+'Base de Datos'!AD37</f>
        <v>0.82500000000000018</v>
      </c>
      <c r="L21" s="49">
        <f>+'Base de Datos'!AE37</f>
        <v>0.80500000000000016</v>
      </c>
      <c r="M21" s="50">
        <f>+'Base de Datos'!AG37</f>
        <v>0.82100000000000017</v>
      </c>
      <c r="O21" s="97" t="str">
        <f t="shared" si="1"/>
        <v>B</v>
      </c>
    </row>
    <row r="22" spans="2:15" ht="14.25" thickBot="1" x14ac:dyDescent="0.3">
      <c r="B22" s="30">
        <f t="shared" si="0"/>
        <v>14</v>
      </c>
      <c r="C22" s="90" t="str">
        <f>+'Base de Datos'!C11</f>
        <v>Actis</v>
      </c>
      <c r="D22" s="78" t="str">
        <f>+'Base de Datos'!D11</f>
        <v>PV Moquel Solar</v>
      </c>
      <c r="E22" s="78" t="str">
        <f>+'Base de Datos'!E11</f>
        <v>Champotón</v>
      </c>
      <c r="F22" s="78" t="str">
        <f>+'Base de Datos'!F11</f>
        <v xml:space="preserve"> Campeche</v>
      </c>
      <c r="G22" s="79" t="str">
        <f>+'Base de Datos'!G11</f>
        <v>Fotovoltaica</v>
      </c>
      <c r="H22" s="72" t="str">
        <f>+'Base de Datos'!H11</f>
        <v>75 MW + 34.08% BESS</v>
      </c>
      <c r="I22" s="73">
        <f>+'Base de Datos'!I11</f>
        <v>46388</v>
      </c>
      <c r="J22" s="74">
        <f>+'Base de Datos'!J11</f>
        <v>46935</v>
      </c>
      <c r="K22" s="48">
        <f>+'Base de Datos'!AD11</f>
        <v>0.82000000000000028</v>
      </c>
      <c r="L22" s="49">
        <f>+'Base de Datos'!AE11</f>
        <v>0.70000000000000018</v>
      </c>
      <c r="M22" s="50">
        <f>+'Base de Datos'!AG11</f>
        <v>0.79600000000000026</v>
      </c>
      <c r="O22" s="97" t="str">
        <f t="shared" si="1"/>
        <v>B</v>
      </c>
    </row>
    <row r="23" spans="2:15" ht="14.25" thickBot="1" x14ac:dyDescent="0.3">
      <c r="B23" s="30">
        <f t="shared" si="0"/>
        <v>15</v>
      </c>
      <c r="C23" s="90" t="str">
        <f>+'Base de Datos'!C50</f>
        <v>Thermion</v>
      </c>
      <c r="D23" s="78" t="str">
        <f>+'Base de Datos'!D50</f>
        <v>Sol de Sonora 70</v>
      </c>
      <c r="E23" s="78" t="str">
        <f>+'Base de Datos'!E50</f>
        <v>Hermosillo</v>
      </c>
      <c r="F23" s="78" t="str">
        <f>+'Base de Datos'!F50</f>
        <v xml:space="preserve"> Sonora</v>
      </c>
      <c r="G23" s="79" t="str">
        <f>+'Base de Datos'!G50</f>
        <v>Fotovoltaica</v>
      </c>
      <c r="H23" s="72" t="str">
        <f>+'Base de Datos'!H50</f>
        <v>70 MW + 31.43% BESS</v>
      </c>
      <c r="I23" s="73">
        <f>+'Base de Datos'!I50</f>
        <v>46357</v>
      </c>
      <c r="J23" s="74">
        <f>+'Base de Datos'!J50</f>
        <v>46844</v>
      </c>
      <c r="K23" s="48">
        <f>+'Base de Datos'!AD50</f>
        <v>0.82000000000000017</v>
      </c>
      <c r="L23" s="49">
        <f>+'Base de Datos'!AE50</f>
        <v>0.82000000000000017</v>
      </c>
      <c r="M23" s="50">
        <f>+'Base de Datos'!AG50</f>
        <v>0.82000000000000017</v>
      </c>
      <c r="O23" s="97" t="str">
        <f t="shared" si="1"/>
        <v>B</v>
      </c>
    </row>
    <row r="24" spans="2:15" ht="14.25" thickBot="1" x14ac:dyDescent="0.3">
      <c r="B24" s="30">
        <f t="shared" si="0"/>
        <v>16</v>
      </c>
      <c r="C24" s="90" t="str">
        <f>+'Base de Datos'!C12</f>
        <v>Actis</v>
      </c>
      <c r="D24" s="78" t="str">
        <f>+'Base de Datos'!D12</f>
        <v>PV Sandom Solar</v>
      </c>
      <c r="E24" s="78" t="str">
        <f>+'Base de Datos'!E12</f>
        <v>Hopelchén</v>
      </c>
      <c r="F24" s="78" t="str">
        <f>+'Base de Datos'!F12</f>
        <v xml:space="preserve"> Campeche</v>
      </c>
      <c r="G24" s="79" t="str">
        <f>+'Base de Datos'!G12</f>
        <v>Fotovoltaica</v>
      </c>
      <c r="H24" s="72" t="str">
        <f>+'Base de Datos'!H12</f>
        <v>54 MW + 34.08% BESS</v>
      </c>
      <c r="I24" s="73">
        <f>+'Base de Datos'!I12</f>
        <v>46478</v>
      </c>
      <c r="J24" s="74">
        <f>+'Base de Datos'!J12</f>
        <v>47057</v>
      </c>
      <c r="K24" s="48">
        <f>+'Base de Datos'!AD12</f>
        <v>0.80000000000000027</v>
      </c>
      <c r="L24" s="49">
        <f>+'Base de Datos'!AE12</f>
        <v>0.55500000000000005</v>
      </c>
      <c r="M24" s="50">
        <f>+'Base de Datos'!AG12</f>
        <v>0.75100000000000022</v>
      </c>
      <c r="O24" s="97" t="str">
        <f t="shared" si="1"/>
        <v>B</v>
      </c>
    </row>
    <row r="25" spans="2:15" ht="14.25" thickBot="1" x14ac:dyDescent="0.3">
      <c r="B25" s="30">
        <f t="shared" si="0"/>
        <v>17</v>
      </c>
      <c r="C25" s="90" t="str">
        <f>+'Base de Datos'!C15</f>
        <v>Atlántica</v>
      </c>
      <c r="D25" s="78" t="str">
        <f>+'Base de Datos'!D15</f>
        <v>Dalia 3 (Castamay)</v>
      </c>
      <c r="E25" s="78" t="str">
        <f>+'Base de Datos'!E15</f>
        <v>Castamay</v>
      </c>
      <c r="F25" s="78" t="str">
        <f>+'Base de Datos'!F15</f>
        <v xml:space="preserve"> Campeche</v>
      </c>
      <c r="G25" s="79" t="str">
        <f>+'Base de Datos'!G15</f>
        <v>Fotovoltaica</v>
      </c>
      <c r="H25" s="72" t="str">
        <f>+'Base de Datos'!H15</f>
        <v>100 MW + 30% BESS</v>
      </c>
      <c r="I25" s="73">
        <f>+'Base de Datos'!I15</f>
        <v>46447</v>
      </c>
      <c r="J25" s="74">
        <f>+'Base de Datos'!J15</f>
        <v>47118</v>
      </c>
      <c r="K25" s="48">
        <f>+'Base de Datos'!AD15</f>
        <v>0.79000000000000026</v>
      </c>
      <c r="L25" s="49">
        <f>+'Base de Datos'!AE15</f>
        <v>0.53500000000000014</v>
      </c>
      <c r="M25" s="50">
        <f>+'Base de Datos'!AG15</f>
        <v>0.73900000000000032</v>
      </c>
      <c r="O25" s="97" t="str">
        <f t="shared" si="1"/>
        <v>B</v>
      </c>
    </row>
    <row r="26" spans="2:15" ht="14.25" thickBot="1" x14ac:dyDescent="0.3">
      <c r="B26" s="30">
        <f t="shared" si="0"/>
        <v>18</v>
      </c>
      <c r="C26" s="90" t="str">
        <f>+'Base de Datos'!C24</f>
        <v>Cúbico</v>
      </c>
      <c r="D26" s="78" t="str">
        <f>+'Base de Datos'!D24</f>
        <v xml:space="preserve">Energías Renovables De México Tres (Hecelchakan) </v>
      </c>
      <c r="E26" s="78" t="str">
        <f>+'Base de Datos'!E24</f>
        <v>Hecelchakán</v>
      </c>
      <c r="F26" s="78" t="str">
        <f>+'Base de Datos'!F24</f>
        <v xml:space="preserve"> Campeche</v>
      </c>
      <c r="G26" s="79" t="str">
        <f>+'Base de Datos'!G24</f>
        <v>Fotovoltaica</v>
      </c>
      <c r="H26" s="72" t="str">
        <f>+'Base de Datos'!H24</f>
        <v>72 MW + 30% BESS</v>
      </c>
      <c r="I26" s="73">
        <f>+'Base de Datos'!I24</f>
        <v>46507</v>
      </c>
      <c r="J26" s="74">
        <f>+'Base de Datos'!J24</f>
        <v>47088</v>
      </c>
      <c r="K26" s="48">
        <f>+'Base de Datos'!AD24</f>
        <v>0.75000000000000022</v>
      </c>
      <c r="L26" s="49">
        <f>+'Base de Datos'!AE24</f>
        <v>0.75000000000000022</v>
      </c>
      <c r="M26" s="50">
        <f>+'Base de Datos'!AG24</f>
        <v>0.75000000000000022</v>
      </c>
      <c r="O26" s="97" t="str">
        <f t="shared" si="1"/>
        <v>C</v>
      </c>
    </row>
    <row r="27" spans="2:15" ht="14.25" thickBot="1" x14ac:dyDescent="0.3">
      <c r="B27" s="30">
        <f t="shared" si="0"/>
        <v>19</v>
      </c>
      <c r="C27" s="90" t="str">
        <f>+'Base de Datos'!C33</f>
        <v>Fisterra</v>
      </c>
      <c r="D27" s="78" t="str">
        <f>+'Base de Datos'!D33</f>
        <v>Planta Solar Cerro Colorado</v>
      </c>
      <c r="E27" s="78" t="str">
        <f>+'Base de Datos'!E33</f>
        <v>Sayula de Alemán</v>
      </c>
      <c r="F27" s="78" t="str">
        <f>+'Base de Datos'!F33</f>
        <v xml:space="preserve"> Veracruz</v>
      </c>
      <c r="G27" s="79" t="str">
        <f>+'Base de Datos'!G33</f>
        <v>Fotovoltaica</v>
      </c>
      <c r="H27" s="72" t="str">
        <f>+'Base de Datos'!H33</f>
        <v>455.68 MW + 30% BESS</v>
      </c>
      <c r="I27" s="73">
        <f>+'Base de Datos'!I33</f>
        <v>46356</v>
      </c>
      <c r="J27" s="74">
        <f>+'Base de Datos'!J33</f>
        <v>47360</v>
      </c>
      <c r="K27" s="48">
        <f>+'Base de Datos'!AD33</f>
        <v>0.75000000000000022</v>
      </c>
      <c r="L27" s="49">
        <f>+'Base de Datos'!AE33</f>
        <v>0.58500000000000019</v>
      </c>
      <c r="M27" s="50">
        <f>+'Base de Datos'!AG33</f>
        <v>0.7170000000000003</v>
      </c>
      <c r="O27" s="97" t="str">
        <f t="shared" si="1"/>
        <v>C</v>
      </c>
    </row>
    <row r="28" spans="2:15" ht="14.25" thickBot="1" x14ac:dyDescent="0.3">
      <c r="B28" s="30">
        <f t="shared" si="0"/>
        <v>20</v>
      </c>
      <c r="C28" s="90" t="str">
        <f>+'Base de Datos'!C26</f>
        <v>Cúbico</v>
      </c>
      <c r="D28" s="78" t="str">
        <f>+'Base de Datos'!D26</f>
        <v>Energías Renovables Saas (Peto)</v>
      </c>
      <c r="E28" s="78" t="str">
        <f>+'Base de Datos'!E26</f>
        <v>Peto</v>
      </c>
      <c r="F28" s="78" t="str">
        <f>+'Base de Datos'!F26</f>
        <v xml:space="preserve"> Yucatán</v>
      </c>
      <c r="G28" s="79" t="str">
        <f>+'Base de Datos'!G26</f>
        <v>Fotovoltaica</v>
      </c>
      <c r="H28" s="72" t="str">
        <f>+'Base de Datos'!H26</f>
        <v>72 MW + 30% BESS</v>
      </c>
      <c r="I28" s="73">
        <f>+'Base de Datos'!I26</f>
        <v>46507</v>
      </c>
      <c r="J28" s="74">
        <f>+'Base de Datos'!J26</f>
        <v>47058</v>
      </c>
      <c r="K28" s="48">
        <f>+'Base de Datos'!AD26</f>
        <v>0.74000000000000021</v>
      </c>
      <c r="L28" s="49">
        <f>+'Base de Datos'!AE26</f>
        <v>0.64000000000000012</v>
      </c>
      <c r="M28" s="50">
        <f>+'Base de Datos'!AG26</f>
        <v>0.7200000000000002</v>
      </c>
      <c r="O28" s="97" t="str">
        <f t="shared" si="1"/>
        <v>C</v>
      </c>
    </row>
    <row r="29" spans="2:15" ht="14.25" thickBot="1" x14ac:dyDescent="0.3">
      <c r="B29" s="30">
        <f t="shared" si="0"/>
        <v>21</v>
      </c>
      <c r="C29" s="90" t="str">
        <f>+'Base de Datos'!C27</f>
        <v>Cúbico</v>
      </c>
      <c r="D29" s="78" t="str">
        <f>+'Base de Datos'!D27</f>
        <v xml:space="preserve">Energías Renovables Kiin (Tekax) </v>
      </c>
      <c r="E29" s="78" t="str">
        <f>+'Base de Datos'!E27</f>
        <v>Tekax</v>
      </c>
      <c r="F29" s="78" t="str">
        <f>+'Base de Datos'!F27</f>
        <v xml:space="preserve"> Yucatán</v>
      </c>
      <c r="G29" s="79" t="str">
        <f>+'Base de Datos'!G27</f>
        <v>Fotovoltaica</v>
      </c>
      <c r="H29" s="72" t="str">
        <f>+'Base de Datos'!H27</f>
        <v>56 MW + 30% BESS</v>
      </c>
      <c r="I29" s="73">
        <f>+'Base de Datos'!I27</f>
        <v>46507</v>
      </c>
      <c r="J29" s="74">
        <f>+'Base de Datos'!J27</f>
        <v>47058</v>
      </c>
      <c r="K29" s="48">
        <f>+'Base de Datos'!AD27</f>
        <v>0.7200000000000002</v>
      </c>
      <c r="L29" s="49">
        <f>+'Base de Datos'!AE27</f>
        <v>0.67000000000000015</v>
      </c>
      <c r="M29" s="50">
        <f>+'Base de Datos'!AG27</f>
        <v>0.71000000000000019</v>
      </c>
      <c r="O29" s="97" t="str">
        <f t="shared" si="1"/>
        <v>C</v>
      </c>
    </row>
    <row r="30" spans="2:15" ht="14.25" thickBot="1" x14ac:dyDescent="0.3">
      <c r="B30" s="30">
        <f t="shared" si="0"/>
        <v>22</v>
      </c>
      <c r="C30" s="90" t="str">
        <f>+'Base de Datos'!C36</f>
        <v>Grupo Pantera</v>
      </c>
      <c r="D30" s="78" t="str">
        <f>+'Base de Datos'!D36</f>
        <v>Solitario</v>
      </c>
      <c r="E30" s="78" t="str">
        <f>+'Base de Datos'!E36</f>
        <v>San Luis Río Colorado</v>
      </c>
      <c r="F30" s="78" t="str">
        <f>+'Base de Datos'!F36</f>
        <v xml:space="preserve"> Sonora</v>
      </c>
      <c r="G30" s="79" t="str">
        <f>+'Base de Datos'!G36</f>
        <v>Fotovoltaica</v>
      </c>
      <c r="H30" s="72" t="str">
        <f>+'Base de Datos'!H36</f>
        <v>200 MW + 32.5% BESS</v>
      </c>
      <c r="I30" s="73">
        <f>+'Base de Datos'!I36</f>
        <v>46388</v>
      </c>
      <c r="J30" s="74">
        <f>+'Base de Datos'!J36</f>
        <v>47025</v>
      </c>
      <c r="K30" s="48">
        <f>+'Base de Datos'!AD36</f>
        <v>0.68</v>
      </c>
      <c r="L30" s="49">
        <f>+'Base de Datos'!AE36</f>
        <v>0.51500000000000001</v>
      </c>
      <c r="M30" s="50">
        <f>+'Base de Datos'!AG36</f>
        <v>0.64700000000000002</v>
      </c>
      <c r="O30" s="97" t="str">
        <f t="shared" si="1"/>
        <v>C</v>
      </c>
    </row>
    <row r="31" spans="2:15" ht="14.25" thickBot="1" x14ac:dyDescent="0.3">
      <c r="B31" s="30">
        <f t="shared" si="0"/>
        <v>23</v>
      </c>
      <c r="C31" s="90" t="str">
        <f>+'Base de Datos'!C41</f>
        <v>Polaris</v>
      </c>
      <c r="D31" s="78" t="str">
        <f>+'Base de Datos'!D41</f>
        <v>Tres Hermanos</v>
      </c>
      <c r="E31" s="78" t="str">
        <f>+'Base de Datos'!E41</f>
        <v>Huamantla / Xaloztoc</v>
      </c>
      <c r="F31" s="78" t="str">
        <f>+'Base de Datos'!F41</f>
        <v xml:space="preserve"> Tlaxcala </v>
      </c>
      <c r="G31" s="79" t="str">
        <f>+'Base de Datos'!G41</f>
        <v>Fotovoltaica</v>
      </c>
      <c r="H31" s="72" t="str">
        <f>+'Base de Datos'!H41</f>
        <v>75 MW + 30% BESS</v>
      </c>
      <c r="I31" s="73">
        <f>+'Base de Datos'!I41</f>
        <v>46447</v>
      </c>
      <c r="J31" s="74">
        <f>+'Base de Datos'!J41</f>
        <v>47088</v>
      </c>
      <c r="K31" s="48">
        <f>+'Base de Datos'!AD41</f>
        <v>0.65500000000000003</v>
      </c>
      <c r="L31" s="49">
        <f>+'Base de Datos'!AE41</f>
        <v>0.43</v>
      </c>
      <c r="M31" s="50">
        <f>+'Base de Datos'!AG41</f>
        <v>0.61</v>
      </c>
      <c r="O31" s="97" t="str">
        <f t="shared" si="1"/>
        <v>C</v>
      </c>
    </row>
    <row r="32" spans="2:15" ht="14.25" thickBot="1" x14ac:dyDescent="0.3">
      <c r="B32" s="30">
        <f t="shared" si="0"/>
        <v>24</v>
      </c>
      <c r="C32" s="90" t="str">
        <f>+'Base de Datos'!C40</f>
        <v>Polaris</v>
      </c>
      <c r="D32" s="78" t="str">
        <f>+'Base de Datos'!D40</f>
        <v>Los Girasoles</v>
      </c>
      <c r="E32" s="78" t="str">
        <f>+'Base de Datos'!E40</f>
        <v>José María Morelos</v>
      </c>
      <c r="F32" s="78" t="str">
        <f>+'Base de Datos'!F40</f>
        <v xml:space="preserve"> Quintana Roo</v>
      </c>
      <c r="G32" s="79" t="str">
        <f>+'Base de Datos'!G40</f>
        <v>Fotovoltaica</v>
      </c>
      <c r="H32" s="72" t="str">
        <f>+'Base de Datos'!H40</f>
        <v>110 MW + 30% BESS</v>
      </c>
      <c r="I32" s="73">
        <f>+'Base de Datos'!I40</f>
        <v>46447</v>
      </c>
      <c r="J32" s="74">
        <f>+'Base de Datos'!J40</f>
        <v>47085</v>
      </c>
      <c r="K32" s="48">
        <f>+'Base de Datos'!AD40</f>
        <v>0.64000000000000012</v>
      </c>
      <c r="L32" s="49">
        <f>+'Base de Datos'!AE40</f>
        <v>0.64000000000000012</v>
      </c>
      <c r="M32" s="50">
        <f>+'Base de Datos'!AG40</f>
        <v>0.64000000000000012</v>
      </c>
      <c r="O32" s="97" t="str">
        <f t="shared" si="1"/>
        <v>C</v>
      </c>
    </row>
    <row r="33" spans="2:15" ht="14.25" thickBot="1" x14ac:dyDescent="0.3">
      <c r="B33" s="30">
        <f t="shared" si="0"/>
        <v>25</v>
      </c>
      <c r="C33" s="90" t="str">
        <f>+'Base de Datos'!C16</f>
        <v>Atlántica</v>
      </c>
      <c r="D33" s="78" t="str">
        <f>+'Base de Datos'!D16</f>
        <v>Fresnillo (PV Atocha)</v>
      </c>
      <c r="E33" s="78" t="str">
        <f>+'Base de Datos'!E16</f>
        <v>Fresnillo</v>
      </c>
      <c r="F33" s="78" t="str">
        <f>+'Base de Datos'!F16</f>
        <v xml:space="preserve"> Zacatecas</v>
      </c>
      <c r="G33" s="79" t="str">
        <f>+'Base de Datos'!G16</f>
        <v>Fotovoltaica</v>
      </c>
      <c r="H33" s="72" t="str">
        <f>+'Base de Datos'!H16</f>
        <v>100 MW + 30% BESS</v>
      </c>
      <c r="I33" s="73">
        <f>+'Base de Datos'!I16</f>
        <v>46447</v>
      </c>
      <c r="J33" s="74">
        <f>+'Base de Datos'!J16</f>
        <v>47118</v>
      </c>
      <c r="K33" s="48">
        <f>+'Base de Datos'!AD16</f>
        <v>0.625</v>
      </c>
      <c r="L33" s="49">
        <f>+'Base de Datos'!AE16</f>
        <v>0.40999999999999992</v>
      </c>
      <c r="M33" s="50">
        <f>+'Base de Datos'!AG16</f>
        <v>0.58199999999999996</v>
      </c>
      <c r="O33" s="97" t="str">
        <f t="shared" si="1"/>
        <v>C</v>
      </c>
    </row>
    <row r="34" spans="2:15" ht="14.25" thickBot="1" x14ac:dyDescent="0.3">
      <c r="B34" s="30">
        <f t="shared" si="0"/>
        <v>26</v>
      </c>
      <c r="C34" s="90" t="str">
        <f>+'Base de Datos'!C13</f>
        <v>Actis</v>
      </c>
      <c r="D34" s="78" t="str">
        <f>+'Base de Datos'!D13</f>
        <v>Viento de Bella Unión</v>
      </c>
      <c r="E34" s="78" t="str">
        <f>+'Base de Datos'!E13</f>
        <v>Arteaga</v>
      </c>
      <c r="F34" s="78" t="str">
        <f>+'Base de Datos'!F13</f>
        <v xml:space="preserve"> Coahuila</v>
      </c>
      <c r="G34" s="79" t="str">
        <f>+'Base de Datos'!G13</f>
        <v>Fotovoltaica</v>
      </c>
      <c r="H34" s="72" t="str">
        <f>+'Base de Datos'!H13</f>
        <v>120 MW + 34.08% BESS</v>
      </c>
      <c r="I34" s="73">
        <f>+'Base de Datos'!I13</f>
        <v>46507</v>
      </c>
      <c r="J34" s="74">
        <f>+'Base de Datos'!J13</f>
        <v>47057</v>
      </c>
      <c r="K34" s="48">
        <f>+'Base de Datos'!AD13</f>
        <v>0.6</v>
      </c>
      <c r="L34" s="49">
        <f>+'Base de Datos'!AE13</f>
        <v>0.64500000000000002</v>
      </c>
      <c r="M34" s="50">
        <f>+'Base de Datos'!AG13</f>
        <v>0.60899999999999999</v>
      </c>
      <c r="O34" s="97" t="str">
        <f t="shared" si="1"/>
        <v>C</v>
      </c>
    </row>
    <row r="35" spans="2:15" ht="14.25" thickBot="1" x14ac:dyDescent="0.3">
      <c r="B35" s="30">
        <f t="shared" si="0"/>
        <v>27</v>
      </c>
      <c r="C35" s="90" t="str">
        <f>+'Base de Datos'!C49</f>
        <v>Thermion</v>
      </c>
      <c r="D35" s="78" t="str">
        <f>+'Base de Datos'!D49</f>
        <v>Santa Gertrudis</v>
      </c>
      <c r="E35" s="78" t="str">
        <f>+'Base de Datos'!E49</f>
        <v>Méndez</v>
      </c>
      <c r="F35" s="78" t="str">
        <f>+'Base de Datos'!F49</f>
        <v xml:space="preserve"> Tamaulipas</v>
      </c>
      <c r="G35" s="79" t="str">
        <f>+'Base de Datos'!G49</f>
        <v>Eólica</v>
      </c>
      <c r="H35" s="72" t="str">
        <f>+'Base de Datos'!H49</f>
        <v>503 MW + 30% BESS</v>
      </c>
      <c r="I35" s="73">
        <f>+'Base de Datos'!I49</f>
        <v>46376</v>
      </c>
      <c r="J35" s="74">
        <f>+'Base de Datos'!J49</f>
        <v>47088</v>
      </c>
      <c r="K35" s="48">
        <f>+'Base de Datos'!AD49</f>
        <v>0.55500000000000005</v>
      </c>
      <c r="L35" s="49">
        <f>+'Base de Datos'!AE49</f>
        <v>0.27500000000000002</v>
      </c>
      <c r="M35" s="50">
        <f>+'Base de Datos'!AG49</f>
        <v>0.49900000000000005</v>
      </c>
      <c r="O35" s="97" t="str">
        <f t="shared" si="1"/>
        <v>C</v>
      </c>
    </row>
    <row r="36" spans="2:15" ht="14.25" thickBot="1" x14ac:dyDescent="0.3">
      <c r="B36" s="30">
        <f t="shared" si="0"/>
        <v>28</v>
      </c>
      <c r="C36" s="90" t="str">
        <f>+'Base de Datos'!C35</f>
        <v>Grupo Pantera</v>
      </c>
      <c r="D36" s="78" t="str">
        <f>+'Base de Datos'!D35</f>
        <v>La Noria</v>
      </c>
      <c r="E36" s="78" t="str">
        <f>+'Base de Datos'!E35</f>
        <v>Villa Unión</v>
      </c>
      <c r="F36" s="78" t="str">
        <f>+'Base de Datos'!F35</f>
        <v xml:space="preserve"> Coahuila</v>
      </c>
      <c r="G36" s="79" t="str">
        <f>+'Base de Datos'!G35</f>
        <v>Eólica</v>
      </c>
      <c r="H36" s="72" t="str">
        <f>+'Base de Datos'!H35</f>
        <v>301.5 MW + 30% BESS</v>
      </c>
      <c r="I36" s="73">
        <f>+'Base de Datos'!I35</f>
        <v>46478</v>
      </c>
      <c r="J36" s="74">
        <f>+'Base de Datos'!J35</f>
        <v>47209</v>
      </c>
      <c r="K36" s="48">
        <f>+'Base de Datos'!AD35</f>
        <v>0.54</v>
      </c>
      <c r="L36" s="49">
        <f>+'Base de Datos'!AE35</f>
        <v>0.44000000000000006</v>
      </c>
      <c r="M36" s="50">
        <f>+'Base de Datos'!AG35</f>
        <v>0.52</v>
      </c>
      <c r="O36" s="97" t="str">
        <f t="shared" si="1"/>
        <v>C</v>
      </c>
    </row>
    <row r="37" spans="2:15" ht="14.25" thickBot="1" x14ac:dyDescent="0.3">
      <c r="B37" s="30">
        <f t="shared" si="0"/>
        <v>29</v>
      </c>
      <c r="C37" s="90" t="str">
        <f>+'Base de Datos'!C22</f>
        <v>CSQB Energy</v>
      </c>
      <c r="D37" s="80" t="str">
        <f>+'Base de Datos'!D22</f>
        <v>Sunora (**)</v>
      </c>
      <c r="E37" s="78" t="str">
        <f>+'Base de Datos'!E22</f>
        <v>Hermosillo</v>
      </c>
      <c r="F37" s="78" t="str">
        <f>+'Base de Datos'!F22</f>
        <v xml:space="preserve"> Sonora</v>
      </c>
      <c r="G37" s="79" t="str">
        <f>+'Base de Datos'!G22</f>
        <v>Fotovoltaica</v>
      </c>
      <c r="H37" s="75" t="str">
        <f>+'Base de Datos'!H22</f>
        <v>300 MW + 30% BESS</v>
      </c>
      <c r="I37" s="83">
        <f>+'Base de Datos'!I22</f>
        <v>46507</v>
      </c>
      <c r="J37" s="84">
        <f>+'Base de Datos'!J22</f>
        <v>47238</v>
      </c>
      <c r="K37" s="48">
        <f>+'Base de Datos'!AD22</f>
        <v>0.49000000000000005</v>
      </c>
      <c r="L37" s="49">
        <f>+'Base de Datos'!AE22</f>
        <v>0.53999999999999992</v>
      </c>
      <c r="M37" s="50">
        <f>+'Base de Datos'!AG22</f>
        <v>0.5</v>
      </c>
      <c r="O37" s="97" t="str">
        <f t="shared" si="1"/>
        <v>C</v>
      </c>
    </row>
    <row r="38" spans="2:15" ht="14.25" thickBot="1" x14ac:dyDescent="0.3">
      <c r="B38" s="30">
        <f t="shared" si="0"/>
        <v>30</v>
      </c>
      <c r="C38" s="90" t="str">
        <f>+'Base de Datos'!C48</f>
        <v>Thermion</v>
      </c>
      <c r="D38" s="78" t="str">
        <f>+'Base de Datos'!D48</f>
        <v>Montecristo</v>
      </c>
      <c r="E38" s="78" t="str">
        <f>+'Base de Datos'!E48</f>
        <v>Méndez</v>
      </c>
      <c r="F38" s="78" t="str">
        <f>+'Base de Datos'!F48</f>
        <v xml:space="preserve"> Tamaulipas</v>
      </c>
      <c r="G38" s="79" t="str">
        <f>+'Base de Datos'!G48</f>
        <v>Eólica</v>
      </c>
      <c r="H38" s="72" t="str">
        <f>+'Base de Datos'!H48</f>
        <v>510 MW + 30% BESS</v>
      </c>
      <c r="I38" s="73">
        <f>+'Base de Datos'!I48</f>
        <v>46376</v>
      </c>
      <c r="J38" s="74">
        <f>+'Base de Datos'!J48</f>
        <v>47088</v>
      </c>
      <c r="K38" s="48">
        <f>+'Base de Datos'!AD48</f>
        <v>0.44000000000000006</v>
      </c>
      <c r="L38" s="49">
        <f>+'Base de Datos'!AE48</f>
        <v>0.25</v>
      </c>
      <c r="M38" s="50">
        <f>+'Base de Datos'!AG48</f>
        <v>0.40200000000000008</v>
      </c>
      <c r="O38" s="97" t="str">
        <f t="shared" si="1"/>
        <v>C</v>
      </c>
    </row>
    <row r="39" spans="2:15" ht="14.25" thickBot="1" x14ac:dyDescent="0.3">
      <c r="B39" s="30">
        <f t="shared" si="0"/>
        <v>31</v>
      </c>
      <c r="C39" s="90" t="str">
        <f>+'Base de Datos'!C38</f>
        <v>MIP Freeman Energy</v>
      </c>
      <c r="D39" s="80" t="str">
        <f>+'Base de Datos'!D38</f>
        <v>CFV Las Garzas (**)</v>
      </c>
      <c r="E39" s="78" t="str">
        <f>+'Base de Datos'!E38</f>
        <v>Lerdo</v>
      </c>
      <c r="F39" s="78" t="str">
        <f>+'Base de Datos'!F38</f>
        <v xml:space="preserve"> Durango</v>
      </c>
      <c r="G39" s="79" t="str">
        <f>+'Base de Datos'!G38</f>
        <v>Fotovoltaica</v>
      </c>
      <c r="H39" s="75" t="str">
        <f>+'Base de Datos'!H38</f>
        <v>270 MW + 30% BESS</v>
      </c>
      <c r="I39" s="83">
        <f>+'Base de Datos'!I38</f>
        <v>46477</v>
      </c>
      <c r="J39" s="84">
        <f>+'Base de Datos'!J38</f>
        <v>47302</v>
      </c>
      <c r="K39" s="48">
        <f>+'Base de Datos'!AD38</f>
        <v>0.44000000000000006</v>
      </c>
      <c r="L39" s="49">
        <f>+'Base de Datos'!AE38</f>
        <v>0.255</v>
      </c>
      <c r="M39" s="50">
        <f>+'Base de Datos'!AG38</f>
        <v>0.40300000000000008</v>
      </c>
      <c r="O39" s="97" t="str">
        <f t="shared" si="1"/>
        <v>C</v>
      </c>
    </row>
    <row r="40" spans="2:15" ht="14.25" thickBot="1" x14ac:dyDescent="0.3">
      <c r="B40" s="30">
        <f t="shared" si="0"/>
        <v>32</v>
      </c>
      <c r="C40" s="90" t="str">
        <f>+'Base de Datos'!C25</f>
        <v>Cúbico</v>
      </c>
      <c r="D40" s="78" t="str">
        <f>+'Base de Datos'!D25</f>
        <v>Energía Limpia el Mezquite</v>
      </c>
      <c r="E40" s="78" t="str">
        <f>+'Base de Datos'!E25</f>
        <v>Mina</v>
      </c>
      <c r="F40" s="78" t="str">
        <f>+'Base de Datos'!F25</f>
        <v xml:space="preserve"> Nuevo León</v>
      </c>
      <c r="G40" s="79" t="str">
        <f>+'Base de Datos'!G25</f>
        <v>Eólica</v>
      </c>
      <c r="H40" s="72" t="str">
        <f>+'Base de Datos'!H25</f>
        <v>300 MW + 30% BESS</v>
      </c>
      <c r="I40" s="73">
        <f>+'Base de Datos'!I25</f>
        <v>46507</v>
      </c>
      <c r="J40" s="74">
        <f>+'Base de Datos'!J25</f>
        <v>47300</v>
      </c>
      <c r="K40" s="48">
        <f>+'Base de Datos'!AD25</f>
        <v>0.4</v>
      </c>
      <c r="L40" s="49">
        <f>+'Base de Datos'!AE25</f>
        <v>0.34</v>
      </c>
      <c r="M40" s="50">
        <f>+'Base de Datos'!AG25</f>
        <v>0.38800000000000007</v>
      </c>
      <c r="O40" s="97" t="str">
        <f t="shared" si="1"/>
        <v>C</v>
      </c>
    </row>
    <row r="41" spans="2:15" ht="14.25" thickBot="1" x14ac:dyDescent="0.3">
      <c r="B41" s="30">
        <f t="shared" si="0"/>
        <v>33</v>
      </c>
      <c r="C41" s="90" t="str">
        <f>+'Base de Datos'!C43</f>
        <v>SuKarne</v>
      </c>
      <c r="D41" s="78" t="str">
        <f>+'Base de Datos'!D43</f>
        <v>CFV Quasara</v>
      </c>
      <c r="E41" s="78" t="str">
        <f>+'Base de Datos'!E43</f>
        <v>Mexicali</v>
      </c>
      <c r="F41" s="78" t="str">
        <f>+'Base de Datos'!F43</f>
        <v xml:space="preserve"> Baja California</v>
      </c>
      <c r="G41" s="79" t="str">
        <f>+'Base de Datos'!G43</f>
        <v>Fotovoltaica</v>
      </c>
      <c r="H41" s="72" t="str">
        <f>+'Base de Datos'!H43</f>
        <v>150 MW + 30% BESS</v>
      </c>
      <c r="I41" s="73">
        <f>+'Base de Datos'!I43</f>
        <v>46447</v>
      </c>
      <c r="J41" s="74">
        <f>+'Base de Datos'!J43</f>
        <v>47119</v>
      </c>
      <c r="K41" s="48">
        <f>+'Base de Datos'!AD43</f>
        <v>0.35500000000000009</v>
      </c>
      <c r="L41" s="49">
        <f>+'Base de Datos'!AE43</f>
        <v>0.35000000000000009</v>
      </c>
      <c r="M41" s="50">
        <f>+'Base de Datos'!AG43</f>
        <v>0.35400000000000009</v>
      </c>
      <c r="O41" s="97" t="str">
        <f t="shared" si="1"/>
        <v>C</v>
      </c>
    </row>
    <row r="42" spans="2:15" ht="14.25" thickBot="1" x14ac:dyDescent="0.3">
      <c r="B42" s="30">
        <f t="shared" si="0"/>
        <v>34</v>
      </c>
      <c r="C42" s="90" t="str">
        <f>+'Base de Datos'!C21</f>
        <v>CSQB Energy</v>
      </c>
      <c r="D42" s="80" t="str">
        <f>+'Base de Datos'!D21</f>
        <v>La Poza Solar (**)</v>
      </c>
      <c r="E42" s="78" t="str">
        <f>+'Base de Datos'!E21</f>
        <v>Hermosillo</v>
      </c>
      <c r="F42" s="78" t="str">
        <f>+'Base de Datos'!F21</f>
        <v xml:space="preserve"> Sonora</v>
      </c>
      <c r="G42" s="79" t="str">
        <f>+'Base de Datos'!G21</f>
        <v>Fotovoltaica</v>
      </c>
      <c r="H42" s="75" t="str">
        <f>+'Base de Datos'!H21</f>
        <v>300 MW + 30% BESS</v>
      </c>
      <c r="I42" s="83">
        <f>+'Base de Datos'!I21</f>
        <v>46507</v>
      </c>
      <c r="J42" s="84">
        <f>+'Base de Datos'!J21</f>
        <v>47238</v>
      </c>
      <c r="K42" s="48">
        <f>+'Base de Datos'!AD21</f>
        <v>0.35000000000000003</v>
      </c>
      <c r="L42" s="49">
        <f>+'Base de Datos'!AE21</f>
        <v>0.35000000000000003</v>
      </c>
      <c r="M42" s="50">
        <f>+'Base de Datos'!AG21</f>
        <v>0.35000000000000003</v>
      </c>
      <c r="O42" s="97" t="str">
        <f t="shared" si="1"/>
        <v>C</v>
      </c>
    </row>
    <row r="43" spans="2:15" ht="14.25" thickBot="1" x14ac:dyDescent="0.3">
      <c r="B43" s="30">
        <f t="shared" si="0"/>
        <v>35</v>
      </c>
      <c r="C43" s="90" t="str">
        <f>+'Base de Datos'!C20</f>
        <v>CSQB Energy</v>
      </c>
      <c r="D43" s="80" t="str">
        <f>+'Base de Datos'!D20</f>
        <v>Cimarrón Solar (**)</v>
      </c>
      <c r="E43" s="78" t="str">
        <f>+'Base de Datos'!E20</f>
        <v>Hermosillo</v>
      </c>
      <c r="F43" s="78" t="str">
        <f>+'Base de Datos'!F20</f>
        <v xml:space="preserve"> Sonora</v>
      </c>
      <c r="G43" s="79" t="str">
        <f>+'Base de Datos'!G20</f>
        <v>Fotovoltaica</v>
      </c>
      <c r="H43" s="75" t="str">
        <f>+'Base de Datos'!H20</f>
        <v>300 MW + 30% BESS</v>
      </c>
      <c r="I43" s="83">
        <f>+'Base de Datos'!I20</f>
        <v>46507</v>
      </c>
      <c r="J43" s="84">
        <f>+'Base de Datos'!J20</f>
        <v>47238</v>
      </c>
      <c r="K43" s="48">
        <f>+'Base de Datos'!AD20</f>
        <v>0.35000000000000003</v>
      </c>
      <c r="L43" s="49">
        <f>+'Base de Datos'!AE20</f>
        <v>0.40000000000000008</v>
      </c>
      <c r="M43" s="50">
        <f>+'Base de Datos'!AG20</f>
        <v>0.36000000000000004</v>
      </c>
      <c r="O43" s="97" t="str">
        <f t="shared" si="1"/>
        <v>C</v>
      </c>
    </row>
    <row r="44" spans="2:15" ht="14.25" thickBot="1" x14ac:dyDescent="0.3">
      <c r="B44" s="30">
        <f t="shared" si="0"/>
        <v>36</v>
      </c>
      <c r="C44" s="90" t="str">
        <f>+'Base de Datos'!C46</f>
        <v>Thermion</v>
      </c>
      <c r="D44" s="78" t="str">
        <f>+'Base de Datos'!D46</f>
        <v>El Guajillo</v>
      </c>
      <c r="E44" s="78" t="str">
        <f>+'Base de Datos'!E46</f>
        <v>Reynosa</v>
      </c>
      <c r="F44" s="78" t="str">
        <f>+'Base de Datos'!F46</f>
        <v xml:space="preserve"> Tamaulipas</v>
      </c>
      <c r="G44" s="79" t="str">
        <f>+'Base de Datos'!G46</f>
        <v>Eólica</v>
      </c>
      <c r="H44" s="72" t="str">
        <f>+'Base de Datos'!H46</f>
        <v>468 MW + 30% BESS</v>
      </c>
      <c r="I44" s="73">
        <f>+'Base de Datos'!I46</f>
        <v>46376</v>
      </c>
      <c r="J44" s="74">
        <f>+'Base de Datos'!J46</f>
        <v>47088</v>
      </c>
      <c r="K44" s="48">
        <f>+'Base de Datos'!AD46</f>
        <v>0.33500000000000008</v>
      </c>
      <c r="L44" s="49">
        <f>+'Base de Datos'!AE46</f>
        <v>0.25</v>
      </c>
      <c r="M44" s="50">
        <f>+'Base de Datos'!AG46</f>
        <v>0.31800000000000006</v>
      </c>
      <c r="O44" s="97" t="str">
        <f t="shared" si="1"/>
        <v>C</v>
      </c>
    </row>
    <row r="45" spans="2:15" ht="14.25" thickBot="1" x14ac:dyDescent="0.3">
      <c r="B45" s="30">
        <f t="shared" si="0"/>
        <v>37</v>
      </c>
      <c r="C45" s="90" t="str">
        <f>+'Base de Datos'!C29</f>
        <v>Eléctrica Aselco</v>
      </c>
      <c r="D45" s="78" t="str">
        <f>+'Base de Datos'!D29</f>
        <v>El Palmar</v>
      </c>
      <c r="E45" s="78" t="str">
        <f>+'Base de Datos'!E29</f>
        <v>Los Cabos</v>
      </c>
      <c r="F45" s="78" t="str">
        <f>+'Base de Datos'!F29</f>
        <v xml:space="preserve"> Baja California Sur</v>
      </c>
      <c r="G45" s="79" t="str">
        <f>+'Base de Datos'!G29</f>
        <v>Fotovoltaica</v>
      </c>
      <c r="H45" s="72" t="str">
        <f>+'Base de Datos'!H29</f>
        <v>120 MW + 30% BESS</v>
      </c>
      <c r="I45" s="73">
        <f>+'Base de Datos'!I29</f>
        <v>46452</v>
      </c>
      <c r="J45" s="74">
        <f>+'Base de Datos'!J29</f>
        <v>47238</v>
      </c>
      <c r="K45" s="48">
        <f>+'Base de Datos'!AD29</f>
        <v>0.30500000000000005</v>
      </c>
      <c r="L45" s="49">
        <f>+'Base de Datos'!AE29</f>
        <v>0.255</v>
      </c>
      <c r="M45" s="50">
        <f>+'Base de Datos'!AG29</f>
        <v>0.29500000000000004</v>
      </c>
      <c r="O45" s="97" t="str">
        <f t="shared" si="1"/>
        <v>C</v>
      </c>
    </row>
    <row r="46" spans="2:15" ht="14.25" thickBot="1" x14ac:dyDescent="0.3">
      <c r="B46" s="30">
        <f t="shared" si="0"/>
        <v>38</v>
      </c>
      <c r="C46" s="90" t="str">
        <f>+'Base de Datos'!C31</f>
        <v>Eléctrica Aselco</v>
      </c>
      <c r="D46" s="78" t="str">
        <f>+'Base de Datos'!D31</f>
        <v>Tikinmul</v>
      </c>
      <c r="E46" s="78" t="str">
        <f>+'Base de Datos'!E31</f>
        <v>Tikinmul</v>
      </c>
      <c r="F46" s="78" t="str">
        <f>+'Base de Datos'!F31</f>
        <v xml:space="preserve"> Campeche</v>
      </c>
      <c r="G46" s="79" t="str">
        <f>+'Base de Datos'!G31</f>
        <v>Fotovoltaica</v>
      </c>
      <c r="H46" s="72" t="str">
        <f>+'Base de Datos'!H31</f>
        <v>170 MW + 30% BESS</v>
      </c>
      <c r="I46" s="73">
        <f>+'Base de Datos'!I31</f>
        <v>46461</v>
      </c>
      <c r="J46" s="74">
        <f>+'Base de Datos'!J31</f>
        <v>47238</v>
      </c>
      <c r="K46" s="48">
        <f>+'Base de Datos'!AD31</f>
        <v>0.30000000000000004</v>
      </c>
      <c r="L46" s="49">
        <f>+'Base de Datos'!AE31</f>
        <v>0.16000000000000003</v>
      </c>
      <c r="M46" s="50">
        <f>+'Base de Datos'!AG31</f>
        <v>0.27200000000000008</v>
      </c>
      <c r="O46" s="97" t="str">
        <f t="shared" si="1"/>
        <v>C</v>
      </c>
    </row>
    <row r="47" spans="2:15" ht="14.25" thickBot="1" x14ac:dyDescent="0.3">
      <c r="B47" s="30">
        <f t="shared" si="0"/>
        <v>39</v>
      </c>
      <c r="C47" s="90" t="str">
        <f>+'Base de Datos'!C30</f>
        <v>Eléctrica Aselco</v>
      </c>
      <c r="D47" s="78" t="str">
        <f>+'Base de Datos'!D30</f>
        <v>La Pasión</v>
      </c>
      <c r="E47" s="78" t="str">
        <f>+'Base de Datos'!E30</f>
        <v>La Paz</v>
      </c>
      <c r="F47" s="78" t="str">
        <f>+'Base de Datos'!F30</f>
        <v xml:space="preserve"> Baja California Sur</v>
      </c>
      <c r="G47" s="79" t="str">
        <f>+'Base de Datos'!G30</f>
        <v>Fotovoltaica</v>
      </c>
      <c r="H47" s="72" t="str">
        <f>+'Base de Datos'!H30</f>
        <v>66 MW + 30% BESS</v>
      </c>
      <c r="I47" s="73">
        <f>+'Base de Datos'!I30</f>
        <v>46461</v>
      </c>
      <c r="J47" s="74">
        <f>+'Base de Datos'!J30</f>
        <v>47057</v>
      </c>
      <c r="K47" s="48">
        <f>+'Base de Datos'!AD30</f>
        <v>0.29500000000000004</v>
      </c>
      <c r="L47" s="49">
        <f>+'Base de Datos'!AE30</f>
        <v>0.28000000000000003</v>
      </c>
      <c r="M47" s="50">
        <f>+'Base de Datos'!AG30</f>
        <v>0.29200000000000004</v>
      </c>
      <c r="O47" s="97" t="str">
        <f t="shared" si="1"/>
        <v>C</v>
      </c>
    </row>
    <row r="48" spans="2:15" ht="14.25" thickBot="1" x14ac:dyDescent="0.3">
      <c r="B48" s="30">
        <f t="shared" si="0"/>
        <v>40</v>
      </c>
      <c r="C48" s="91" t="str">
        <f>+'Base de Datos'!C44</f>
        <v>Enhol &amp; GEMEX [Terralia]</v>
      </c>
      <c r="D48" s="85" t="str">
        <f>+'Base de Datos'!D44</f>
        <v>Sierra Madre (El Chorro) (*)</v>
      </c>
      <c r="E48" s="81" t="str">
        <f>+'Base de Datos'!E44</f>
        <v>Villa de Casas y Güemes</v>
      </c>
      <c r="F48" s="81" t="str">
        <f>+'Base de Datos'!F44</f>
        <v xml:space="preserve"> Tamaulipas</v>
      </c>
      <c r="G48" s="82" t="str">
        <f>+'Base de Datos'!G44</f>
        <v>Eólica</v>
      </c>
      <c r="H48" s="86" t="str">
        <f>+'Base de Datos'!H44</f>
        <v>580 MW + 30% BESS</v>
      </c>
      <c r="I48" s="87" t="str">
        <f>+'Base de Datos'!I44</f>
        <v>SIN DATO</v>
      </c>
      <c r="J48" s="88" t="str">
        <f>+'Base de Datos'!J44</f>
        <v>SIN DATO</v>
      </c>
      <c r="K48" s="51">
        <f>+'Base de Datos'!AD44</f>
        <v>0.03</v>
      </c>
      <c r="L48" s="52">
        <f>+'Base de Datos'!AE44</f>
        <v>0</v>
      </c>
      <c r="M48" s="53">
        <f>+'Base de Datos'!AG44</f>
        <v>2.4E-2</v>
      </c>
      <c r="O48" s="114" t="str">
        <f t="shared" si="1"/>
        <v>C</v>
      </c>
    </row>
    <row r="49" spans="2:13" ht="14.25" hidden="1" thickBot="1" x14ac:dyDescent="0.3">
      <c r="B49" s="30"/>
      <c r="C49" s="105"/>
      <c r="D49" s="106"/>
      <c r="E49" s="105"/>
      <c r="F49" s="107"/>
      <c r="G49" s="108"/>
      <c r="H49" s="109"/>
      <c r="I49" s="110"/>
      <c r="J49" s="110"/>
      <c r="K49" s="111"/>
      <c r="L49" s="112"/>
      <c r="M49" s="113"/>
    </row>
    <row r="50" spans="2:13" ht="14.25" thickBot="1" x14ac:dyDescent="0.3">
      <c r="B50" s="30"/>
      <c r="C50" s="2"/>
      <c r="F50" s="218" t="s">
        <v>18</v>
      </c>
      <c r="G50" s="219"/>
      <c r="H50" s="68"/>
      <c r="I50" s="68"/>
      <c r="J50" s="68"/>
      <c r="K50" s="64">
        <f>AVERAGE(K9:K48)</f>
        <v>0.64556250000000026</v>
      </c>
      <c r="L50" s="65">
        <f>AVERAGE(L9:L48)</f>
        <v>0.56068750000000001</v>
      </c>
      <c r="M50" s="63">
        <f>AVERAGE(M9:M48)</f>
        <v>0.6285875000000003</v>
      </c>
    </row>
    <row r="61" spans="2:13" x14ac:dyDescent="0.25">
      <c r="C61" s="2"/>
      <c r="E61" s="5"/>
      <c r="F61" s="5"/>
      <c r="G61" s="5"/>
      <c r="H61" s="5"/>
      <c r="I61" s="5"/>
      <c r="J61" s="5"/>
      <c r="K61" s="5"/>
      <c r="L61" s="5"/>
      <c r="M61" s="5"/>
    </row>
    <row r="62" spans="2:13" x14ac:dyDescent="0.25">
      <c r="C62" s="2"/>
    </row>
    <row r="70" spans="3:15" ht="14.25" thickBot="1" x14ac:dyDescent="0.3"/>
    <row r="71" spans="3:15" ht="14.25" thickBot="1" x14ac:dyDescent="0.3">
      <c r="C71" s="213" t="s">
        <v>19</v>
      </c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5"/>
    </row>
    <row r="72" spans="3:15" x14ac:dyDescent="0.25">
      <c r="C72" s="210" t="s">
        <v>20</v>
      </c>
      <c r="D72" s="56" t="s">
        <v>21</v>
      </c>
      <c r="E72" s="210" t="s">
        <v>22</v>
      </c>
      <c r="F72" s="61" t="s">
        <v>23</v>
      </c>
      <c r="G72" s="19"/>
      <c r="H72" s="19"/>
      <c r="I72" s="19"/>
      <c r="J72" s="19"/>
      <c r="K72" s="19"/>
      <c r="L72" s="18"/>
      <c r="M72" s="19"/>
      <c r="N72" s="19"/>
      <c r="O72" s="34"/>
    </row>
    <row r="73" spans="3:15" x14ac:dyDescent="0.25">
      <c r="C73" s="211"/>
      <c r="D73" s="57" t="s">
        <v>24</v>
      </c>
      <c r="E73" s="211"/>
      <c r="F73" s="62" t="s">
        <v>25</v>
      </c>
      <c r="L73" s="5"/>
      <c r="O73" s="35"/>
    </row>
    <row r="74" spans="3:15" ht="14.25" thickBot="1" x14ac:dyDescent="0.3">
      <c r="C74" s="212"/>
      <c r="D74" s="58" t="s">
        <v>26</v>
      </c>
      <c r="E74" s="211"/>
      <c r="F74" s="62" t="s">
        <v>27</v>
      </c>
      <c r="L74" s="5"/>
      <c r="O74" s="35"/>
    </row>
    <row r="75" spans="3:15" x14ac:dyDescent="0.25">
      <c r="C75" s="224" t="s">
        <v>28</v>
      </c>
      <c r="D75" s="56" t="s">
        <v>29</v>
      </c>
      <c r="E75" s="211"/>
      <c r="F75" s="62" t="s">
        <v>30</v>
      </c>
      <c r="G75" s="5"/>
      <c r="H75" s="5"/>
      <c r="I75" s="5"/>
      <c r="J75" s="5"/>
      <c r="L75" s="5"/>
      <c r="O75" s="35"/>
    </row>
    <row r="76" spans="3:15" x14ac:dyDescent="0.25">
      <c r="C76" s="225"/>
      <c r="D76" s="57" t="s">
        <v>31</v>
      </c>
      <c r="E76" s="211"/>
      <c r="F76" s="62" t="s">
        <v>32</v>
      </c>
      <c r="G76" s="5"/>
      <c r="H76" s="5"/>
      <c r="I76" s="5"/>
      <c r="J76" s="5"/>
      <c r="L76" s="5"/>
      <c r="O76" s="35"/>
    </row>
    <row r="77" spans="3:15" ht="14.25" thickBot="1" x14ac:dyDescent="0.3">
      <c r="C77" s="226"/>
      <c r="D77" s="58" t="s">
        <v>33</v>
      </c>
      <c r="E77" s="211"/>
      <c r="F77" s="62" t="s">
        <v>34</v>
      </c>
      <c r="G77" s="5"/>
      <c r="H77" s="5"/>
      <c r="I77" s="5"/>
      <c r="J77" s="5"/>
      <c r="L77" s="5"/>
      <c r="O77" s="35"/>
    </row>
    <row r="78" spans="3:15" x14ac:dyDescent="0.25">
      <c r="C78" s="66" t="s">
        <v>35</v>
      </c>
      <c r="D78" s="67" t="s">
        <v>36</v>
      </c>
      <c r="E78" s="211"/>
      <c r="F78" s="62" t="s">
        <v>37</v>
      </c>
      <c r="G78" s="5"/>
      <c r="H78" s="5"/>
      <c r="I78" s="5"/>
      <c r="J78" s="5"/>
      <c r="L78" s="5"/>
      <c r="O78" s="35"/>
    </row>
    <row r="79" spans="3:15" x14ac:dyDescent="0.25">
      <c r="C79" s="222" t="s">
        <v>38</v>
      </c>
      <c r="D79" s="220" t="s">
        <v>39</v>
      </c>
      <c r="E79" s="211"/>
      <c r="F79" s="59" t="s">
        <v>40</v>
      </c>
      <c r="G79" s="5"/>
      <c r="H79" s="5"/>
      <c r="I79" s="5"/>
      <c r="J79" s="5"/>
      <c r="L79" s="5"/>
      <c r="O79" s="35"/>
    </row>
    <row r="80" spans="3:15" x14ac:dyDescent="0.25">
      <c r="C80" s="222"/>
      <c r="D80" s="220"/>
      <c r="E80" s="211"/>
      <c r="F80" s="59" t="s">
        <v>41</v>
      </c>
      <c r="G80" s="5"/>
      <c r="H80" s="5"/>
      <c r="I80" s="5"/>
      <c r="J80" s="5"/>
      <c r="L80" s="5"/>
      <c r="O80" s="35"/>
    </row>
    <row r="81" spans="3:15" ht="14.25" thickBot="1" x14ac:dyDescent="0.3">
      <c r="C81" s="223"/>
      <c r="D81" s="221"/>
      <c r="E81" s="212"/>
      <c r="F81" s="60" t="s">
        <v>42</v>
      </c>
      <c r="G81" s="39"/>
      <c r="H81" s="39"/>
      <c r="I81" s="39"/>
      <c r="J81" s="39"/>
      <c r="K81" s="26"/>
      <c r="L81" s="39"/>
      <c r="M81" s="26"/>
      <c r="N81" s="26"/>
      <c r="O81" s="36"/>
    </row>
    <row r="82" spans="3:15" ht="6" customHeight="1" x14ac:dyDescent="0.25"/>
    <row r="84" spans="3:15" hidden="1" x14ac:dyDescent="0.25"/>
    <row r="85" spans="3:15" hidden="1" x14ac:dyDescent="0.25">
      <c r="K85" s="98">
        <v>1</v>
      </c>
      <c r="L85" s="98">
        <v>1</v>
      </c>
      <c r="M85" s="98">
        <v>1</v>
      </c>
    </row>
    <row r="86" spans="3:15" hidden="1" x14ac:dyDescent="0.25">
      <c r="K86" s="98">
        <v>0</v>
      </c>
      <c r="L86" s="98">
        <v>0</v>
      </c>
      <c r="M86" s="98">
        <v>0</v>
      </c>
    </row>
    <row r="87" spans="3:15" x14ac:dyDescent="0.25">
      <c r="C87" s="55"/>
      <c r="D87" s="29"/>
    </row>
    <row r="88" spans="3:15" x14ac:dyDescent="0.25">
      <c r="C88" s="55"/>
      <c r="D88" s="29"/>
    </row>
    <row r="90" spans="3:15" x14ac:dyDescent="0.25">
      <c r="C90" s="2"/>
    </row>
    <row r="91" spans="3:15" x14ac:dyDescent="0.25">
      <c r="C91" s="2"/>
    </row>
    <row r="92" spans="3:15" x14ac:dyDescent="0.25">
      <c r="C92" s="2"/>
    </row>
    <row r="93" spans="3:15" x14ac:dyDescent="0.25">
      <c r="C93" s="2"/>
    </row>
  </sheetData>
  <autoFilter ref="C8:M8" xr:uid="{7601AF97-A91F-4115-9A98-6C206A130AA0}">
    <sortState xmlns:xlrd2="http://schemas.microsoft.com/office/spreadsheetml/2017/richdata2" ref="C9:M48">
      <sortCondition descending="1" ref="K8"/>
    </sortState>
  </autoFilter>
  <sortState xmlns:xlrd2="http://schemas.microsoft.com/office/spreadsheetml/2017/richdata2" ref="C9:M48">
    <sortCondition descending="1" ref="K9:K48"/>
  </sortState>
  <mergeCells count="13">
    <mergeCell ref="E2:N2"/>
    <mergeCell ref="E3:N3"/>
    <mergeCell ref="E4:N4"/>
    <mergeCell ref="E5:N5"/>
    <mergeCell ref="E72:E81"/>
    <mergeCell ref="C71:O71"/>
    <mergeCell ref="O7:O8"/>
    <mergeCell ref="F50:G50"/>
    <mergeCell ref="D79:D81"/>
    <mergeCell ref="C79:C81"/>
    <mergeCell ref="C72:C74"/>
    <mergeCell ref="C75:C77"/>
    <mergeCell ref="K7:M7"/>
  </mergeCells>
  <conditionalFormatting sqref="C75">
    <cfRule type="iconSet" priority="7">
      <iconSet>
        <cfvo type="percent" val="0"/>
        <cfvo type="percent" val="80"/>
        <cfvo type="percent" val="90"/>
      </iconSet>
    </cfRule>
  </conditionalFormatting>
  <conditionalFormatting sqref="K1:M6 K8:M1048576 K7">
    <cfRule type="iconSet" priority="1">
      <iconSet>
        <cfvo type="percent" val="0"/>
        <cfvo type="percent" val="76"/>
        <cfvo type="percent" val="85"/>
      </iconSet>
    </cfRule>
  </conditionalFormatting>
  <conditionalFormatting sqref="O9:O48">
    <cfRule type="containsText" dxfId="20" priority="2" operator="containsText" text="B">
      <formula>NOT(ISERROR(SEARCH("B",O9)))</formula>
    </cfRule>
    <cfRule type="containsText" dxfId="19" priority="3" operator="containsText" text="A">
      <formula>NOT(ISERROR(SEARCH("A",O9)))</formula>
    </cfRule>
    <cfRule type="containsText" dxfId="18" priority="4" operator="containsText" text="C">
      <formula>NOT(ISERROR(SEARCH("C",O9)))</formula>
    </cfRule>
  </conditionalFormatting>
  <printOptions horizontalCentered="1"/>
  <pageMargins left="0.19685039370078741" right="0.19685039370078741" top="0.39370078740157483" bottom="0.39370078740157483" header="0" footer="0"/>
  <pageSetup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8040-8CFF-4743-8ED3-673E32DB7260}">
  <sheetPr>
    <tabColor rgb="FF0070C0"/>
    <pageSetUpPr fitToPage="1"/>
  </sheetPr>
  <dimension ref="B1:Z72"/>
  <sheetViews>
    <sheetView topLeftCell="A4" zoomScale="85" zoomScaleNormal="85" zoomScaleSheetLayoutView="80" workbookViewId="0">
      <selection activeCell="D18" sqref="D18"/>
    </sheetView>
  </sheetViews>
  <sheetFormatPr baseColWidth="10" defaultColWidth="11.42578125" defaultRowHeight="13.5" x14ac:dyDescent="0.25"/>
  <cols>
    <col min="1" max="1" width="3" style="2" customWidth="1"/>
    <col min="2" max="2" width="2.85546875" style="2" bestFit="1" customWidth="1"/>
    <col min="3" max="3" width="23.5703125" style="3" bestFit="1" customWidth="1"/>
    <col min="4" max="4" width="39.42578125" style="2" bestFit="1" customWidth="1"/>
    <col min="5" max="5" width="24.28515625" style="2" customWidth="1"/>
    <col min="6" max="6" width="14.5703125" style="2" bestFit="1" customWidth="1"/>
    <col min="7" max="7" width="10.28515625" style="2" bestFit="1" customWidth="1"/>
    <col min="8" max="8" width="18" style="2" customWidth="1"/>
    <col min="9" max="10" width="10.28515625" style="2" customWidth="1"/>
    <col min="11" max="11" width="11.5703125" style="2" bestFit="1" customWidth="1"/>
    <col min="12" max="15" width="12.7109375" style="2" bestFit="1" customWidth="1"/>
    <col min="16" max="16" width="8.140625" style="2" customWidth="1"/>
    <col min="17" max="20" width="12.7109375" style="2" bestFit="1" customWidth="1"/>
    <col min="21" max="21" width="1.140625" style="2" customWidth="1"/>
    <col min="22" max="22" width="10.140625" style="2" customWidth="1"/>
    <col min="23" max="23" width="1.140625" style="2" customWidth="1"/>
    <col min="24" max="24" width="11.42578125" style="2"/>
    <col min="25" max="25" width="3" style="2" customWidth="1"/>
    <col min="26" max="26" width="3.28515625" style="2" customWidth="1"/>
    <col min="27" max="16384" width="11.42578125" style="2"/>
  </cols>
  <sheetData>
    <row r="1" spans="2:26" ht="6.75" customHeight="1" thickBot="1" x14ac:dyDescent="0.3"/>
    <row r="2" spans="2:26" x14ac:dyDescent="0.25">
      <c r="C2" s="31"/>
      <c r="D2" s="34"/>
      <c r="E2" s="202" t="str">
        <f>+'Base de Datos'!AB2</f>
        <v>COMISIÓN FEDERAL DE ELECTRICIDAD</v>
      </c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39"/>
      <c r="V2" s="117" t="s">
        <v>0</v>
      </c>
    </row>
    <row r="3" spans="2:26" x14ac:dyDescent="0.25">
      <c r="C3" s="32"/>
      <c r="D3" s="35"/>
      <c r="E3" s="205" t="str">
        <f>+'Base de Datos'!AB3</f>
        <v>COORDINACIÓN DE PROYECTOS DE ENERGÍAS LIMPIAS</v>
      </c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40"/>
      <c r="V3" s="118">
        <v>3</v>
      </c>
    </row>
    <row r="4" spans="2:26" ht="14.25" thickBot="1" x14ac:dyDescent="0.3">
      <c r="C4" s="32"/>
      <c r="D4" s="35"/>
      <c r="E4" s="241" t="str">
        <f>+'Base de Datos'!AB4</f>
        <v>GERENCIA DE CONSTRUCCIÓN</v>
      </c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3"/>
      <c r="V4" s="119">
        <f ca="1">TODAY()</f>
        <v>46325</v>
      </c>
    </row>
    <row r="5" spans="2:26" ht="16.5" thickBot="1" x14ac:dyDescent="0.3">
      <c r="C5" s="33"/>
      <c r="D5" s="36"/>
      <c r="E5" s="208" t="s">
        <v>1</v>
      </c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44"/>
      <c r="V5" s="44"/>
    </row>
    <row r="6" spans="2:26" ht="6" customHeight="1" thickBot="1" x14ac:dyDescent="0.3"/>
    <row r="7" spans="2:26" ht="15.75" customHeight="1" thickBot="1" x14ac:dyDescent="0.3">
      <c r="C7" s="230" t="s">
        <v>2</v>
      </c>
      <c r="D7" s="232" t="s">
        <v>3</v>
      </c>
      <c r="E7" s="232" t="s">
        <v>4</v>
      </c>
      <c r="F7" s="232" t="s">
        <v>5</v>
      </c>
      <c r="G7" s="234" t="s">
        <v>6</v>
      </c>
      <c r="H7" s="245" t="s">
        <v>7</v>
      </c>
      <c r="I7" s="247" t="s">
        <v>43</v>
      </c>
      <c r="J7" s="249" t="s">
        <v>9</v>
      </c>
      <c r="K7" s="236" t="s">
        <v>44</v>
      </c>
      <c r="L7" s="237"/>
      <c r="M7" s="237"/>
      <c r="N7" s="237"/>
      <c r="O7" s="237"/>
      <c r="P7" s="237"/>
      <c r="Q7" s="237"/>
      <c r="R7" s="237"/>
      <c r="S7" s="237"/>
      <c r="T7" s="238"/>
      <c r="V7" s="216" t="s">
        <v>45</v>
      </c>
    </row>
    <row r="8" spans="2:26" ht="24.75" thickBot="1" x14ac:dyDescent="0.3">
      <c r="C8" s="231"/>
      <c r="D8" s="233"/>
      <c r="E8" s="233"/>
      <c r="F8" s="233"/>
      <c r="G8" s="235"/>
      <c r="H8" s="246"/>
      <c r="I8" s="248"/>
      <c r="J8" s="250"/>
      <c r="K8" s="198" t="s">
        <v>46</v>
      </c>
      <c r="L8" s="199" t="s">
        <v>47</v>
      </c>
      <c r="M8" s="199" t="s">
        <v>427</v>
      </c>
      <c r="N8" s="200" t="s">
        <v>48</v>
      </c>
      <c r="O8" s="200" t="s">
        <v>428</v>
      </c>
      <c r="P8" s="200" t="s">
        <v>49</v>
      </c>
      <c r="Q8" s="200" t="s">
        <v>50</v>
      </c>
      <c r="R8" s="200" t="s">
        <v>51</v>
      </c>
      <c r="S8" s="200" t="s">
        <v>52</v>
      </c>
      <c r="T8" s="201" t="s">
        <v>53</v>
      </c>
      <c r="V8" s="418"/>
    </row>
    <row r="9" spans="2:26" x14ac:dyDescent="0.25">
      <c r="B9" s="30">
        <v>1</v>
      </c>
      <c r="C9" s="410" t="str">
        <f>'Resumen Ejecutivo'!C9</f>
        <v>Cúbico</v>
      </c>
      <c r="D9" s="411" t="str">
        <f>'Resumen Ejecutivo'!D9</f>
        <v>Energías Renovables de Tamaulipas (Altamira)</v>
      </c>
      <c r="E9" s="411" t="str">
        <f>'Resumen Ejecutivo'!E9</f>
        <v>Altamira</v>
      </c>
      <c r="F9" s="411" t="str">
        <f>'Resumen Ejecutivo'!F9</f>
        <v xml:space="preserve"> Tamaulipas</v>
      </c>
      <c r="G9" s="422" t="str">
        <f>'Resumen Ejecutivo'!G9</f>
        <v>Fotovoltaica</v>
      </c>
      <c r="H9" s="412" t="str">
        <f>'Resumen Ejecutivo'!H9</f>
        <v>78 MW + 30% BESS</v>
      </c>
      <c r="I9" s="413">
        <f>'Resumen Ejecutivo'!I9</f>
        <v>46388</v>
      </c>
      <c r="J9" s="414">
        <f>'Resumen Ejecutivo'!J9</f>
        <v>46935</v>
      </c>
      <c r="K9" s="175" t="str">
        <f>VLOOKUP(D9,CAPEX!$E$2:$BQ$41,48,FALSE)</f>
        <v>Liberado</v>
      </c>
      <c r="L9" s="176" t="str">
        <f>VLOOKUP(D9,CAPEX!$E$2:$BQ$41,50,FALSE)</f>
        <v>Liberado</v>
      </c>
      <c r="M9" s="176" t="str">
        <f>VLOOKUP(D9,CAPEX!$E$2:$BQ$41,51,FALSE)</f>
        <v>Liberado</v>
      </c>
      <c r="N9" s="176" t="str">
        <f>VLOOKUP(D9,CAPEX!$E$2:$BQ$41,53,FALSE)</f>
        <v>En evaluación</v>
      </c>
      <c r="O9" s="176" t="str">
        <f>VLOOKUP(D9,CAPEX!$E$2:$BQ$41,55,FALSE)</f>
        <v>Liberado</v>
      </c>
      <c r="P9" s="176" t="str">
        <f>VLOOKUP(D9,CAPEX!$E$2:$BQ$41,57,FALSE)</f>
        <v>N/A</v>
      </c>
      <c r="Q9" s="176" t="str">
        <f>VLOOKUP(D9,CAPEX!$E$2:$BQ$41,60,FALSE)</f>
        <v>En evaluación</v>
      </c>
      <c r="R9" s="176" t="str">
        <f>VLOOKUP(D9,CAPEX!$E$2:$BQ$41,58,FALSE)</f>
        <v>Liberado</v>
      </c>
      <c r="S9" s="176" t="str">
        <f>VLOOKUP(D9,CAPEX!$E$2:$BQ$41,62,FALSE)</f>
        <v>Liberado</v>
      </c>
      <c r="T9" s="177" t="str">
        <f>VLOOKUP(D9,CAPEX!$E$2:$BQ$41,64,FALSE)</f>
        <v>En elaboración</v>
      </c>
      <c r="V9" s="408" t="str">
        <f>'Resumen Ejecutivo'!O9</f>
        <v>A</v>
      </c>
      <c r="Y9" s="10" t="s">
        <v>15</v>
      </c>
      <c r="Z9" s="10">
        <f>'Resumen Ejecutivo'!S9</f>
        <v>7</v>
      </c>
    </row>
    <row r="10" spans="2:26" x14ac:dyDescent="0.25">
      <c r="B10" s="30">
        <v>2</v>
      </c>
      <c r="C10" s="89" t="str">
        <f>'Resumen Ejecutivo'!C10</f>
        <v>Fisterra</v>
      </c>
      <c r="D10" s="76" t="str">
        <f>'Resumen Ejecutivo'!D10</f>
        <v>San Simón Solar</v>
      </c>
      <c r="E10" s="78" t="s">
        <v>55</v>
      </c>
      <c r="F10" s="78" t="s">
        <v>56</v>
      </c>
      <c r="G10" s="423" t="s">
        <v>57</v>
      </c>
      <c r="H10" s="72" t="str">
        <f>'Resumen Ejecutivo'!H10</f>
        <v>80 MW + 30% BESS</v>
      </c>
      <c r="I10" s="73">
        <f>'Resumen Ejecutivo'!I10</f>
        <v>46341</v>
      </c>
      <c r="J10" s="74">
        <f>'Resumen Ejecutivo'!J10</f>
        <v>47118</v>
      </c>
      <c r="K10" s="178" t="str">
        <f>VLOOKUP(D10,CAPEX!$E$2:$BQ$41,48,FALSE)</f>
        <v>Liberado</v>
      </c>
      <c r="L10" s="179" t="str">
        <f>VLOOKUP(D10,CAPEX!$E$2:$BQ$41,50,FALSE)</f>
        <v>Liberado</v>
      </c>
      <c r="M10" s="179" t="str">
        <f>VLOOKUP(D10,CAPEX!$E$2:$BQ$41,51,FALSE)</f>
        <v>Liberado</v>
      </c>
      <c r="N10" s="179" t="str">
        <f>VLOOKUP(D10,CAPEX!$E$2:$BQ$41,53,FALSE)</f>
        <v>N/A</v>
      </c>
      <c r="O10" s="179" t="str">
        <f>VLOOKUP(D10,CAPEX!$E$2:$BQ$41,55,FALSE)</f>
        <v>Liberado</v>
      </c>
      <c r="P10" s="179" t="str">
        <f>VLOOKUP(D10,CAPEX!$E$2:$BQ$41,57,FALSE)</f>
        <v>N/A</v>
      </c>
      <c r="Q10" s="179" t="str">
        <f>VLOOKUP(D10,CAPEX!$E$2:$BQ$41,60,FALSE)</f>
        <v>En evaluación</v>
      </c>
      <c r="R10" s="179" t="str">
        <f>VLOOKUP(D10,CAPEX!$E$2:$BQ$41,58,FALSE)</f>
        <v>Liberado</v>
      </c>
      <c r="S10" s="179" t="str">
        <f>VLOOKUP(D10,CAPEX!$E$2:$BQ$41,62,FALSE)</f>
        <v>Liberado</v>
      </c>
      <c r="T10" s="180" t="str">
        <f>VLOOKUP(D10,CAPEX!$E$2:$BQ$41,64,FALSE)</f>
        <v>En evaluación</v>
      </c>
      <c r="V10" s="409" t="str">
        <f>'Resumen Ejecutivo'!O10</f>
        <v>A</v>
      </c>
      <c r="Y10" s="10" t="s">
        <v>16</v>
      </c>
      <c r="Z10" s="10">
        <f>'Resumen Ejecutivo'!S10</f>
        <v>10</v>
      </c>
    </row>
    <row r="11" spans="2:26" x14ac:dyDescent="0.25">
      <c r="B11" s="30">
        <v>3</v>
      </c>
      <c r="C11" s="89" t="str">
        <f>'Resumen Ejecutivo'!C11</f>
        <v>Elawan Wind Mexico III</v>
      </c>
      <c r="D11" s="76" t="str">
        <f>'Resumen Ejecutivo'!D11</f>
        <v>San Pedro Solar</v>
      </c>
      <c r="E11" s="78" t="s">
        <v>62</v>
      </c>
      <c r="F11" s="78" t="s">
        <v>63</v>
      </c>
      <c r="G11" s="423" t="s">
        <v>57</v>
      </c>
      <c r="H11" s="72" t="str">
        <f>'Resumen Ejecutivo'!H11</f>
        <v>98.2 MW + 30% BESS</v>
      </c>
      <c r="I11" s="73">
        <f>'Resumen Ejecutivo'!I11</f>
        <v>46447</v>
      </c>
      <c r="J11" s="74">
        <f>'Resumen Ejecutivo'!J11</f>
        <v>46843</v>
      </c>
      <c r="K11" s="178" t="str">
        <f>VLOOKUP(D11,CAPEX!$E$2:$BQ$41,48,FALSE)</f>
        <v>En actualización</v>
      </c>
      <c r="L11" s="179" t="str">
        <f>VLOOKUP(D11,CAPEX!$E$2:$BQ$41,50,FALSE)</f>
        <v>Liberado</v>
      </c>
      <c r="M11" s="179" t="str">
        <f>VLOOKUP(D11,CAPEX!$E$2:$BQ$41,51,FALSE)</f>
        <v>En evaluación</v>
      </c>
      <c r="N11" s="179" t="str">
        <f>VLOOKUP(D11,CAPEX!$E$2:$BQ$41,53,FALSE)</f>
        <v>N/A</v>
      </c>
      <c r="O11" s="179" t="str">
        <f>VLOOKUP(D11,CAPEX!$E$2:$BQ$41,55,FALSE)</f>
        <v>En evaluación</v>
      </c>
      <c r="P11" s="179" t="str">
        <f>VLOOKUP(D11,CAPEX!$E$2:$BQ$41,57,FALSE)</f>
        <v>N/A</v>
      </c>
      <c r="Q11" s="179" t="str">
        <f>VLOOKUP(D11,CAPEX!$E$2:$BQ$41,60,FALSE)</f>
        <v>Liberado</v>
      </c>
      <c r="R11" s="179" t="str">
        <f>VLOOKUP(D11,CAPEX!$E$2:$BQ$41,58,FALSE)</f>
        <v>Liberado</v>
      </c>
      <c r="S11" s="179" t="str">
        <f>VLOOKUP(D11,CAPEX!$E$2:$BQ$41,62,FALSE)</f>
        <v>En evaluación</v>
      </c>
      <c r="T11" s="180" t="str">
        <f>VLOOKUP(D11,CAPEX!$E$2:$BQ$41,64,FALSE)</f>
        <v>En evaluación</v>
      </c>
      <c r="V11" s="409" t="str">
        <f>'Resumen Ejecutivo'!O11</f>
        <v>A</v>
      </c>
      <c r="Y11" s="10" t="s">
        <v>69</v>
      </c>
      <c r="Z11" s="10">
        <f>'Resumen Ejecutivo'!S11</f>
        <v>23</v>
      </c>
    </row>
    <row r="12" spans="2:26" x14ac:dyDescent="0.25">
      <c r="B12" s="30">
        <v>4</v>
      </c>
      <c r="C12" s="89" t="str">
        <f>'Resumen Ejecutivo'!C12</f>
        <v>Alten</v>
      </c>
      <c r="D12" s="76" t="str">
        <f>'Resumen Ejecutivo'!D12</f>
        <v>Global Solar 3 Campeche</v>
      </c>
      <c r="E12" s="78" t="s">
        <v>90</v>
      </c>
      <c r="F12" s="78" t="s">
        <v>91</v>
      </c>
      <c r="G12" s="423" t="s">
        <v>57</v>
      </c>
      <c r="H12" s="72" t="str">
        <f>'Resumen Ejecutivo'!H12</f>
        <v>125 MW + 30.00% BESS</v>
      </c>
      <c r="I12" s="73">
        <f>'Resumen Ejecutivo'!I12</f>
        <v>46388</v>
      </c>
      <c r="J12" s="74">
        <f>'Resumen Ejecutivo'!J12</f>
        <v>46935</v>
      </c>
      <c r="K12" s="178" t="str">
        <f>VLOOKUP(D12,CAPEX!$E$2:$BQ$41,48,FALSE)</f>
        <v>Liberado</v>
      </c>
      <c r="L12" s="179" t="str">
        <f>VLOOKUP(D12,CAPEX!$E$2:$BQ$41,50,FALSE)</f>
        <v>Liberado</v>
      </c>
      <c r="M12" s="179" t="str">
        <f>VLOOKUP(D12,CAPEX!$E$2:$BQ$41,51,FALSE)</f>
        <v>En evaluación</v>
      </c>
      <c r="N12" s="179" t="str">
        <f>VLOOKUP(D12,CAPEX!$E$2:$BQ$41,53,FALSE)</f>
        <v>En evaluación</v>
      </c>
      <c r="O12" s="179" t="str">
        <f>VLOOKUP(D12,CAPEX!$E$2:$BQ$41,55,FALSE)</f>
        <v>Liberado</v>
      </c>
      <c r="P12" s="179" t="str">
        <f>VLOOKUP(D12,CAPEX!$E$2:$BQ$41,57,FALSE)</f>
        <v>Iniciada</v>
      </c>
      <c r="Q12" s="179" t="str">
        <f>VLOOKUP(D12,CAPEX!$E$2:$BQ$41,60,FALSE)</f>
        <v>Liberado</v>
      </c>
      <c r="R12" s="179" t="str">
        <f>VLOOKUP(D12,CAPEX!$E$2:$BQ$41,58,FALSE)</f>
        <v>En evaluación</v>
      </c>
      <c r="S12" s="179" t="str">
        <f>VLOOKUP(D12,CAPEX!$E$2:$BQ$41,62,FALSE)</f>
        <v>Liberado</v>
      </c>
      <c r="T12" s="180" t="str">
        <f>VLOOKUP(D12,CAPEX!$E$2:$BQ$41,64,FALSE)</f>
        <v>En evaluación</v>
      </c>
      <c r="V12" s="409" t="str">
        <f>'Resumen Ejecutivo'!O12</f>
        <v>A</v>
      </c>
    </row>
    <row r="13" spans="2:26" x14ac:dyDescent="0.25">
      <c r="B13" s="30">
        <v>5</v>
      </c>
      <c r="C13" s="89" t="str">
        <f>'Resumen Ejecutivo'!C13</f>
        <v>Selka Power</v>
      </c>
      <c r="D13" s="76" t="str">
        <f>'Resumen Ejecutivo'!D13</f>
        <v>Selka Power Plant 1</v>
      </c>
      <c r="E13" s="78" t="s">
        <v>75</v>
      </c>
      <c r="F13" s="78" t="s">
        <v>76</v>
      </c>
      <c r="G13" s="423" t="s">
        <v>57</v>
      </c>
      <c r="H13" s="72" t="str">
        <f>'Resumen Ejecutivo'!H13</f>
        <v>141.4 MW + 30% BESS</v>
      </c>
      <c r="I13" s="73">
        <f>'Resumen Ejecutivo'!I13</f>
        <v>46357</v>
      </c>
      <c r="J13" s="74">
        <f>'Resumen Ejecutivo'!J13</f>
        <v>46905</v>
      </c>
      <c r="K13" s="178" t="str">
        <f>VLOOKUP(D13,CAPEX!$E$2:$BQ$41,48,FALSE)</f>
        <v>En actualización</v>
      </c>
      <c r="L13" s="179" t="str">
        <f>VLOOKUP(D13,CAPEX!$E$2:$BQ$41,50,FALSE)</f>
        <v>Liberado</v>
      </c>
      <c r="M13" s="179" t="str">
        <f>VLOOKUP(D13,CAPEX!$E$2:$BQ$41,51,FALSE)</f>
        <v>En evaluación</v>
      </c>
      <c r="N13" s="179" t="str">
        <f>VLOOKUP(D13,CAPEX!$E$2:$BQ$41,53,FALSE)</f>
        <v>N/A</v>
      </c>
      <c r="O13" s="179" t="str">
        <f>VLOOKUP(D13,CAPEX!$E$2:$BQ$41,55,FALSE)</f>
        <v>En evaluación</v>
      </c>
      <c r="P13" s="179" t="str">
        <f>VLOOKUP(D13,CAPEX!$E$2:$BQ$41,57,FALSE)</f>
        <v>N/A</v>
      </c>
      <c r="Q13" s="179" t="str">
        <f>VLOOKUP(D13,CAPEX!$E$2:$BQ$41,60,FALSE)</f>
        <v>Liberado</v>
      </c>
      <c r="R13" s="179" t="str">
        <f>VLOOKUP(D13,CAPEX!$E$2:$BQ$41,58,FALSE)</f>
        <v>Liberado</v>
      </c>
      <c r="S13" s="179" t="str">
        <f>VLOOKUP(D13,CAPEX!$E$2:$BQ$41,62,FALSE)</f>
        <v>En evaluación</v>
      </c>
      <c r="T13" s="180" t="str">
        <f>VLOOKUP(D13,CAPEX!$E$2:$BQ$41,64,FALSE)</f>
        <v>En elaboración</v>
      </c>
      <c r="V13" s="409" t="str">
        <f>'Resumen Ejecutivo'!O13</f>
        <v>A</v>
      </c>
    </row>
    <row r="14" spans="2:26" x14ac:dyDescent="0.25">
      <c r="B14" s="30">
        <v>6</v>
      </c>
      <c r="C14" s="89" t="str">
        <f>'Resumen Ejecutivo'!C14</f>
        <v>Polaris</v>
      </c>
      <c r="D14" s="76" t="str">
        <f>'Resumen Ejecutivo'!D14</f>
        <v>Don Humberto</v>
      </c>
      <c r="E14" s="78" t="s">
        <v>85</v>
      </c>
      <c r="F14" s="78" t="s">
        <v>86</v>
      </c>
      <c r="G14" s="423" t="s">
        <v>57</v>
      </c>
      <c r="H14" s="72" t="str">
        <f>'Resumen Ejecutivo'!H14</f>
        <v>19.2 MW + 30% BESS</v>
      </c>
      <c r="I14" s="73">
        <f>'Resumen Ejecutivo'!I14</f>
        <v>46327</v>
      </c>
      <c r="J14" s="74">
        <f>'Resumen Ejecutivo'!J14</f>
        <v>46844</v>
      </c>
      <c r="K14" s="178" t="str">
        <f>VLOOKUP(D14,CAPEX!$E$2:$BQ$41,48,FALSE)</f>
        <v>En actualización</v>
      </c>
      <c r="L14" s="179" t="str">
        <f>VLOOKUP(D14,CAPEX!$E$2:$BQ$41,50,FALSE)</f>
        <v>Liberado</v>
      </c>
      <c r="M14" s="179" t="str">
        <f>VLOOKUP(D14,CAPEX!$E$2:$BQ$41,51,FALSE)</f>
        <v>En evaluación</v>
      </c>
      <c r="N14" s="179" t="str">
        <f>VLOOKUP(D14,CAPEX!$E$2:$BQ$41,53,FALSE)</f>
        <v>N/A</v>
      </c>
      <c r="O14" s="179" t="str">
        <f>VLOOKUP(D14,CAPEX!$E$2:$BQ$41,55,FALSE)</f>
        <v>Liberado</v>
      </c>
      <c r="P14" s="179" t="str">
        <f>VLOOKUP(D14,CAPEX!$E$2:$BQ$41,57,FALSE)</f>
        <v>N/A</v>
      </c>
      <c r="Q14" s="179" t="str">
        <f>VLOOKUP(D14,CAPEX!$E$2:$BQ$41,60,FALSE)</f>
        <v>Liberado</v>
      </c>
      <c r="R14" s="179" t="str">
        <f>VLOOKUP(D14,CAPEX!$E$2:$BQ$41,58,FALSE)</f>
        <v>En actualización</v>
      </c>
      <c r="S14" s="179" t="str">
        <f>VLOOKUP(D14,CAPEX!$E$2:$BQ$41,62,FALSE)</f>
        <v>En elaboración</v>
      </c>
      <c r="T14" s="180" t="str">
        <f>VLOOKUP(D14,CAPEX!$E$2:$BQ$41,64,FALSE)</f>
        <v>En evaluación</v>
      </c>
      <c r="V14" s="409" t="str">
        <f>'Resumen Ejecutivo'!O14</f>
        <v>A</v>
      </c>
    </row>
    <row r="15" spans="2:26" x14ac:dyDescent="0.25">
      <c r="B15" s="30">
        <v>7</v>
      </c>
      <c r="C15" s="89" t="str">
        <f>'Resumen Ejecutivo'!C15</f>
        <v>Thermion</v>
      </c>
      <c r="D15" s="76" t="str">
        <f>'Resumen Ejecutivo'!D15</f>
        <v>Los Molinos</v>
      </c>
      <c r="E15" s="78" t="s">
        <v>101</v>
      </c>
      <c r="F15" s="78" t="s">
        <v>67</v>
      </c>
      <c r="G15" s="423" t="s">
        <v>99</v>
      </c>
      <c r="H15" s="72" t="str">
        <f>'Resumen Ejecutivo'!H15</f>
        <v>171 MW + 30% BESS</v>
      </c>
      <c r="I15" s="73">
        <f>'Resumen Ejecutivo'!I15</f>
        <v>46371</v>
      </c>
      <c r="J15" s="74">
        <f>'Resumen Ejecutivo'!J15</f>
        <v>47088</v>
      </c>
      <c r="K15" s="178" t="str">
        <f>VLOOKUP(D15,CAPEX!$E$2:$BQ$41,48,FALSE)</f>
        <v>Liberado</v>
      </c>
      <c r="L15" s="179" t="str">
        <f>VLOOKUP(D15,CAPEX!$E$2:$BQ$41,50,FALSE)</f>
        <v>En actualización</v>
      </c>
      <c r="M15" s="179" t="str">
        <f>VLOOKUP(D15,CAPEX!$E$2:$BQ$41,51,FALSE)</f>
        <v>En actualización</v>
      </c>
      <c r="N15" s="179" t="str">
        <f>VLOOKUP(D15,CAPEX!$E$2:$BQ$41,53,FALSE)</f>
        <v>En evaluación</v>
      </c>
      <c r="O15" s="179" t="str">
        <f>VLOOKUP(D15,CAPEX!$E$2:$BQ$41,55,FALSE)</f>
        <v>En elaboración</v>
      </c>
      <c r="P15" s="179" t="str">
        <f>VLOOKUP(D15,CAPEX!$E$2:$BQ$41,57,FALSE)</f>
        <v>N/A</v>
      </c>
      <c r="Q15" s="179" t="str">
        <f>VLOOKUP(D15,CAPEX!$E$2:$BQ$41,60,FALSE)</f>
        <v>Liberado</v>
      </c>
      <c r="R15" s="179" t="str">
        <f>VLOOKUP(D15,CAPEX!$E$2:$BQ$41,58,FALSE)</f>
        <v>En evaluación</v>
      </c>
      <c r="S15" s="179" t="str">
        <f>VLOOKUP(D15,CAPEX!$E$2:$BQ$41,62,FALSE)</f>
        <v>En evaluación</v>
      </c>
      <c r="T15" s="180" t="str">
        <f>VLOOKUP(D15,CAPEX!$E$2:$BQ$41,64,FALSE)</f>
        <v>En evaluación</v>
      </c>
      <c r="V15" s="409" t="str">
        <f>'Resumen Ejecutivo'!O15</f>
        <v>A</v>
      </c>
    </row>
    <row r="16" spans="2:26" x14ac:dyDescent="0.25">
      <c r="B16" s="30">
        <v>8</v>
      </c>
      <c r="C16" s="89" t="str">
        <f>'Resumen Ejecutivo'!C16</f>
        <v>Fisterra</v>
      </c>
      <c r="D16" s="76" t="str">
        <f>'Resumen Ejecutivo'!D16</f>
        <v>Haab Kiin</v>
      </c>
      <c r="E16" s="78" t="s">
        <v>161</v>
      </c>
      <c r="F16" s="78" t="s">
        <v>149</v>
      </c>
      <c r="G16" s="423" t="s">
        <v>57</v>
      </c>
      <c r="H16" s="72" t="str">
        <f>'Resumen Ejecutivo'!H16</f>
        <v>123.2 MW + 30% BESS</v>
      </c>
      <c r="I16" s="73">
        <f>'Resumen Ejecutivo'!I16</f>
        <v>46356</v>
      </c>
      <c r="J16" s="74">
        <f>'Resumen Ejecutivo'!J16</f>
        <v>47208</v>
      </c>
      <c r="K16" s="178" t="str">
        <f>VLOOKUP(D16,CAPEX!$E$2:$BQ$41,48,FALSE)</f>
        <v>Liberado</v>
      </c>
      <c r="L16" s="179" t="str">
        <f>VLOOKUP(D16,CAPEX!$E$2:$BQ$41,50,FALSE)</f>
        <v>Liberado</v>
      </c>
      <c r="M16" s="179" t="str">
        <f>VLOOKUP(D16,CAPEX!$E$2:$BQ$41,51,FALSE)</f>
        <v>En evaluación</v>
      </c>
      <c r="N16" s="179" t="str">
        <f>VLOOKUP(D16,CAPEX!$E$2:$BQ$41,53,FALSE)</f>
        <v>En elaboración</v>
      </c>
      <c r="O16" s="179" t="str">
        <f>VLOOKUP(D16,CAPEX!$E$2:$BQ$41,55,FALSE)</f>
        <v>Liberado</v>
      </c>
      <c r="P16" s="179" t="str">
        <f>VLOOKUP(D16,CAPEX!$E$2:$BQ$41,57,FALSE)</f>
        <v>Iniciada</v>
      </c>
      <c r="Q16" s="179" t="str">
        <f>VLOOKUP(D16,CAPEX!$E$2:$BQ$41,60,FALSE)</f>
        <v>Liberado</v>
      </c>
      <c r="R16" s="179" t="str">
        <f>VLOOKUP(D16,CAPEX!$E$2:$BQ$41,58,FALSE)</f>
        <v>En evaluación</v>
      </c>
      <c r="S16" s="179" t="str">
        <f>VLOOKUP(D16,CAPEX!$E$2:$BQ$41,62,FALSE)</f>
        <v>Liberado</v>
      </c>
      <c r="T16" s="180" t="str">
        <f>VLOOKUP(D16,CAPEX!$E$2:$BQ$41,64,FALSE)</f>
        <v>Liberado</v>
      </c>
      <c r="V16" s="409" t="str">
        <f>'Resumen Ejecutivo'!O16</f>
        <v>B</v>
      </c>
    </row>
    <row r="17" spans="2:22" x14ac:dyDescent="0.25">
      <c r="B17" s="30">
        <v>9</v>
      </c>
      <c r="C17" s="89" t="str">
        <f>'Resumen Ejecutivo'!C17</f>
        <v>Atlas Renewable Energy</v>
      </c>
      <c r="D17" s="76" t="str">
        <f>'Resumen Ejecutivo'!D17</f>
        <v>Concepción Mendizábal M. - Fase I</v>
      </c>
      <c r="E17" s="78" t="s">
        <v>79</v>
      </c>
      <c r="F17" s="78" t="s">
        <v>80</v>
      </c>
      <c r="G17" s="423" t="s">
        <v>57</v>
      </c>
      <c r="H17" s="72" t="str">
        <f>'Resumen Ejecutivo'!H17</f>
        <v>339 MW + 30.00% BESS</v>
      </c>
      <c r="I17" s="73">
        <f>'Resumen Ejecutivo'!I17</f>
        <v>46478</v>
      </c>
      <c r="J17" s="74">
        <f>'Resumen Ejecutivo'!J17</f>
        <v>47209</v>
      </c>
      <c r="K17" s="178" t="str">
        <f>VLOOKUP(D17,CAPEX!$E$2:$BQ$41,48,FALSE)</f>
        <v>Liberado</v>
      </c>
      <c r="L17" s="179" t="str">
        <f>VLOOKUP(D17,CAPEX!$E$2:$BQ$41,50,FALSE)</f>
        <v>En actualización</v>
      </c>
      <c r="M17" s="179" t="str">
        <f>VLOOKUP(D17,CAPEX!$E$2:$BQ$41,51,FALSE)</f>
        <v>En evaluación</v>
      </c>
      <c r="N17" s="179" t="str">
        <f>VLOOKUP(D17,CAPEX!$E$2:$BQ$41,53,FALSE)</f>
        <v>N/A</v>
      </c>
      <c r="O17" s="179" t="str">
        <f>VLOOKUP(D17,CAPEX!$E$2:$BQ$41,55,FALSE)</f>
        <v>Liberado</v>
      </c>
      <c r="P17" s="179" t="str">
        <f>VLOOKUP(D17,CAPEX!$E$2:$BQ$41,57,FALSE)</f>
        <v>N/A</v>
      </c>
      <c r="Q17" s="179" t="str">
        <f>VLOOKUP(D17,CAPEX!$E$2:$BQ$41,60,FALSE)</f>
        <v>En elaboración</v>
      </c>
      <c r="R17" s="179" t="str">
        <f>VLOOKUP(D17,CAPEX!$E$2:$BQ$41,58,FALSE)</f>
        <v>Liberado</v>
      </c>
      <c r="S17" s="179" t="str">
        <f>VLOOKUP(D17,CAPEX!$E$2:$BQ$41,62,FALSE)</f>
        <v>En evaluación</v>
      </c>
      <c r="T17" s="180" t="str">
        <f>VLOOKUP(D17,CAPEX!$E$2:$BQ$41,64,FALSE)</f>
        <v>En elaboración</v>
      </c>
      <c r="V17" s="409" t="str">
        <f>'Resumen Ejecutivo'!O17</f>
        <v>B</v>
      </c>
    </row>
    <row r="18" spans="2:22" x14ac:dyDescent="0.25">
      <c r="B18" s="30">
        <v>10</v>
      </c>
      <c r="C18" s="89" t="str">
        <f>'Resumen Ejecutivo'!C18</f>
        <v>Atlas Renewable Energy</v>
      </c>
      <c r="D18" s="76" t="str">
        <f>'Resumen Ejecutivo'!D18</f>
        <v>Concepción Mendizábal M. - Fase II</v>
      </c>
      <c r="E18" s="78" t="s">
        <v>79</v>
      </c>
      <c r="F18" s="78" t="s">
        <v>80</v>
      </c>
      <c r="G18" s="423" t="s">
        <v>57</v>
      </c>
      <c r="H18" s="72" t="str">
        <f>'Resumen Ejecutivo'!H18</f>
        <v>180 MW + 30.00% BESS</v>
      </c>
      <c r="I18" s="73">
        <f>'Resumen Ejecutivo'!I18</f>
        <v>46478</v>
      </c>
      <c r="J18" s="74">
        <f>'Resumen Ejecutivo'!J18</f>
        <v>47209</v>
      </c>
      <c r="K18" s="178" t="str">
        <f>VLOOKUP(D18,CAPEX!$E$2:$BQ$41,48,FALSE)</f>
        <v>Liberado</v>
      </c>
      <c r="L18" s="179" t="str">
        <f>VLOOKUP(D18,CAPEX!$E$2:$BQ$41,50,FALSE)</f>
        <v>En actualización</v>
      </c>
      <c r="M18" s="179" t="str">
        <f>VLOOKUP(D18,CAPEX!$E$2:$BQ$41,51,FALSE)</f>
        <v>En evaluación</v>
      </c>
      <c r="N18" s="179" t="str">
        <f>VLOOKUP(D18,CAPEX!$E$2:$BQ$41,53,FALSE)</f>
        <v>N/A</v>
      </c>
      <c r="O18" s="179" t="str">
        <f>VLOOKUP(D18,CAPEX!$E$2:$BQ$41,55,FALSE)</f>
        <v>Liberado</v>
      </c>
      <c r="P18" s="179" t="str">
        <f>VLOOKUP(D18,CAPEX!$E$2:$BQ$41,57,FALSE)</f>
        <v>N/A</v>
      </c>
      <c r="Q18" s="179" t="str">
        <f>VLOOKUP(D18,CAPEX!$E$2:$BQ$41,60,FALSE)</f>
        <v>En elaboración</v>
      </c>
      <c r="R18" s="179" t="str">
        <f>VLOOKUP(D18,CAPEX!$E$2:$BQ$41,58,FALSE)</f>
        <v>Liberado</v>
      </c>
      <c r="S18" s="179" t="str">
        <f>VLOOKUP(D18,CAPEX!$E$2:$BQ$41,62,FALSE)</f>
        <v>En evaluación</v>
      </c>
      <c r="T18" s="180" t="str">
        <f>VLOOKUP(D18,CAPEX!$E$2:$BQ$41,64,FALSE)</f>
        <v>En elaboración</v>
      </c>
      <c r="V18" s="409" t="str">
        <f>'Resumen Ejecutivo'!O18</f>
        <v>B</v>
      </c>
    </row>
    <row r="19" spans="2:22" x14ac:dyDescent="0.25">
      <c r="B19" s="30">
        <v>11</v>
      </c>
      <c r="C19" s="89" t="str">
        <f>'Resumen Ejecutivo'!C19</f>
        <v>Thermion</v>
      </c>
      <c r="D19" s="76" t="str">
        <f>'Resumen Ejecutivo'!D19</f>
        <v>Delaro (*)</v>
      </c>
      <c r="E19" s="78" t="s">
        <v>98</v>
      </c>
      <c r="F19" s="78" t="s">
        <v>67</v>
      </c>
      <c r="G19" s="423" t="s">
        <v>99</v>
      </c>
      <c r="H19" s="72" t="str">
        <f>'Resumen Ejecutivo'!H19</f>
        <v>117 MW + 30% BESS</v>
      </c>
      <c r="I19" s="73" t="str">
        <f>'Resumen Ejecutivo'!I19</f>
        <v>SIN DATO</v>
      </c>
      <c r="J19" s="74" t="str">
        <f>'Resumen Ejecutivo'!J19</f>
        <v>SIN DATO</v>
      </c>
      <c r="K19" s="178" t="str">
        <f>VLOOKUP(D19,CAPEX!$E$2:$BQ$41,48,FALSE)</f>
        <v>Liberado</v>
      </c>
      <c r="L19" s="179" t="str">
        <f>VLOOKUP(D19,CAPEX!$E$2:$BQ$41,50,FALSE)</f>
        <v>En actualización</v>
      </c>
      <c r="M19" s="179" t="str">
        <f>VLOOKUP(D19,CAPEX!$E$2:$BQ$41,51,FALSE)</f>
        <v>En elaboración</v>
      </c>
      <c r="N19" s="179" t="str">
        <f>VLOOKUP(D19,CAPEX!$E$2:$BQ$41,53,FALSE)</f>
        <v>N/A</v>
      </c>
      <c r="O19" s="179" t="str">
        <f>VLOOKUP(D19,CAPEX!$E$2:$BQ$41,55,FALSE)</f>
        <v>En actualización</v>
      </c>
      <c r="P19" s="179" t="str">
        <f>VLOOKUP(D19,CAPEX!$E$2:$BQ$41,57,FALSE)</f>
        <v>N/A</v>
      </c>
      <c r="Q19" s="179" t="str">
        <f>VLOOKUP(D19,CAPEX!$E$2:$BQ$41,60,FALSE)</f>
        <v>En evaluación</v>
      </c>
      <c r="R19" s="179" t="str">
        <f>VLOOKUP(D19,CAPEX!$E$2:$BQ$41,58,FALSE)</f>
        <v>En actualización</v>
      </c>
      <c r="S19" s="179" t="str">
        <f>VLOOKUP(D19,CAPEX!$E$2:$BQ$41,62,FALSE)</f>
        <v>En evaluación</v>
      </c>
      <c r="T19" s="180" t="str">
        <f>VLOOKUP(D19,CAPEX!$E$2:$BQ$41,64,FALSE)</f>
        <v>En elaboración</v>
      </c>
      <c r="V19" s="409" t="str">
        <f>'Resumen Ejecutivo'!O19</f>
        <v>B</v>
      </c>
    </row>
    <row r="20" spans="2:22" x14ac:dyDescent="0.25">
      <c r="B20" s="30">
        <v>12</v>
      </c>
      <c r="C20" s="89" t="str">
        <f>'Resumen Ejecutivo'!C20</f>
        <v>Atlas Renewable Energy</v>
      </c>
      <c r="D20" s="76" t="str">
        <f>'Resumen Ejecutivo'!D20</f>
        <v>Concepción Mendizábal M. - Fase III</v>
      </c>
      <c r="E20" s="78" t="s">
        <v>79</v>
      </c>
      <c r="F20" s="78" t="s">
        <v>80</v>
      </c>
      <c r="G20" s="423" t="s">
        <v>57</v>
      </c>
      <c r="H20" s="72" t="str">
        <f>'Resumen Ejecutivo'!H20</f>
        <v>339 MW + 30.00% BESS</v>
      </c>
      <c r="I20" s="73">
        <f>'Resumen Ejecutivo'!I20</f>
        <v>46478</v>
      </c>
      <c r="J20" s="74">
        <f>'Resumen Ejecutivo'!J20</f>
        <v>47209</v>
      </c>
      <c r="K20" s="178" t="str">
        <f>VLOOKUP(D20,CAPEX!$E$2:$BQ$41,48,FALSE)</f>
        <v>Liberado</v>
      </c>
      <c r="L20" s="179" t="str">
        <f>VLOOKUP(D20,CAPEX!$E$2:$BQ$41,50,FALSE)</f>
        <v>En actualización</v>
      </c>
      <c r="M20" s="179" t="str">
        <f>VLOOKUP(D20,CAPEX!$E$2:$BQ$41,51,FALSE)</f>
        <v>En actualización</v>
      </c>
      <c r="N20" s="179" t="str">
        <f>VLOOKUP(D20,CAPEX!$E$2:$BQ$41,53,FALSE)</f>
        <v>En evaluación</v>
      </c>
      <c r="O20" s="179" t="str">
        <f>VLOOKUP(D20,CAPEX!$E$2:$BQ$41,55,FALSE)</f>
        <v>Liberado</v>
      </c>
      <c r="P20" s="179" t="str">
        <f>VLOOKUP(D20,CAPEX!$E$2:$BQ$41,57,FALSE)</f>
        <v>N/A</v>
      </c>
      <c r="Q20" s="179" t="str">
        <f>VLOOKUP(D20,CAPEX!$E$2:$BQ$41,60,FALSE)</f>
        <v>En elaboración</v>
      </c>
      <c r="R20" s="179" t="str">
        <f>VLOOKUP(D20,CAPEX!$E$2:$BQ$41,58,FALSE)</f>
        <v>Liberado</v>
      </c>
      <c r="S20" s="179" t="str">
        <f>VLOOKUP(D20,CAPEX!$E$2:$BQ$41,62,FALSE)</f>
        <v>N/A</v>
      </c>
      <c r="T20" s="180" t="str">
        <f>VLOOKUP(D20,CAPEX!$E$2:$BQ$41,64,FALSE)</f>
        <v>En elaboración</v>
      </c>
      <c r="V20" s="409" t="str">
        <f>'Resumen Ejecutivo'!O20</f>
        <v>B</v>
      </c>
    </row>
    <row r="21" spans="2:22" x14ac:dyDescent="0.25">
      <c r="B21" s="30">
        <v>13</v>
      </c>
      <c r="C21" s="89" t="str">
        <f>'Resumen Ejecutivo'!C21</f>
        <v>Grupo ZML</v>
      </c>
      <c r="D21" s="76" t="str">
        <f>'Resumen Ejecutivo'!D21</f>
        <v>Álvaro Obregón</v>
      </c>
      <c r="E21" s="78" t="s">
        <v>71</v>
      </c>
      <c r="F21" s="78" t="s">
        <v>72</v>
      </c>
      <c r="G21" s="423" t="s">
        <v>57</v>
      </c>
      <c r="H21" s="72" t="str">
        <f>'Resumen Ejecutivo'!H21</f>
        <v>90 MW + 100% BESS</v>
      </c>
      <c r="I21" s="73">
        <f>'Resumen Ejecutivo'!I21</f>
        <v>46507</v>
      </c>
      <c r="J21" s="74">
        <f>'Resumen Ejecutivo'!J21</f>
        <v>47054</v>
      </c>
      <c r="K21" s="178" t="str">
        <f>VLOOKUP(D21,CAPEX!$E$2:$BQ$41,48,FALSE)</f>
        <v>Liberado</v>
      </c>
      <c r="L21" s="179" t="str">
        <f>VLOOKUP(D21,CAPEX!$E$2:$BQ$41,50,FALSE)</f>
        <v>Liberado</v>
      </c>
      <c r="M21" s="179" t="str">
        <f>VLOOKUP(D21,CAPEX!$E$2:$BQ$41,51,FALSE)</f>
        <v>En evaluación</v>
      </c>
      <c r="N21" s="179" t="str">
        <f>VLOOKUP(D21,CAPEX!$E$2:$BQ$41,53,FALSE)</f>
        <v>En elaboración</v>
      </c>
      <c r="O21" s="179" t="str">
        <f>VLOOKUP(D21,CAPEX!$E$2:$BQ$41,55,FALSE)</f>
        <v>En actualización</v>
      </c>
      <c r="P21" s="179" t="str">
        <f>VLOOKUP(D21,CAPEX!$E$2:$BQ$41,57,FALSE)</f>
        <v>N/A</v>
      </c>
      <c r="Q21" s="179" t="str">
        <f>VLOOKUP(D21,CAPEX!$E$2:$BQ$41,60,FALSE)</f>
        <v>Liberado</v>
      </c>
      <c r="R21" s="179" t="str">
        <f>VLOOKUP(D21,CAPEX!$E$2:$BQ$41,58,FALSE)</f>
        <v>En evaluación</v>
      </c>
      <c r="S21" s="179" t="str">
        <f>VLOOKUP(D21,CAPEX!$E$2:$BQ$41,62,FALSE)</f>
        <v>En evaluación</v>
      </c>
      <c r="T21" s="180" t="str">
        <f>VLOOKUP(D21,CAPEX!$E$2:$BQ$41,64,FALSE)</f>
        <v>Liberado</v>
      </c>
      <c r="V21" s="409" t="str">
        <f>'Resumen Ejecutivo'!O21</f>
        <v>B</v>
      </c>
    </row>
    <row r="22" spans="2:22" x14ac:dyDescent="0.25">
      <c r="B22" s="30">
        <v>14</v>
      </c>
      <c r="C22" s="89" t="str">
        <f>'Resumen Ejecutivo'!C22</f>
        <v>Actis</v>
      </c>
      <c r="D22" s="76" t="str">
        <f>'Resumen Ejecutivo'!D22</f>
        <v>PV Moquel Solar</v>
      </c>
      <c r="E22" s="78" t="s">
        <v>109</v>
      </c>
      <c r="F22" s="78" t="s">
        <v>91</v>
      </c>
      <c r="G22" s="423" t="s">
        <v>57</v>
      </c>
      <c r="H22" s="72" t="str">
        <f>'Resumen Ejecutivo'!H22</f>
        <v>75 MW + 34.08% BESS</v>
      </c>
      <c r="I22" s="73">
        <f>'Resumen Ejecutivo'!I22</f>
        <v>46388</v>
      </c>
      <c r="J22" s="74">
        <f>'Resumen Ejecutivo'!J22</f>
        <v>46935</v>
      </c>
      <c r="K22" s="178" t="str">
        <f>VLOOKUP(D22,CAPEX!$E$2:$BQ$41,48,FALSE)</f>
        <v>Liberado</v>
      </c>
      <c r="L22" s="179" t="str">
        <f>VLOOKUP(D22,CAPEX!$E$2:$BQ$41,50,FALSE)</f>
        <v>Liberado</v>
      </c>
      <c r="M22" s="179" t="str">
        <f>VLOOKUP(D22,CAPEX!$E$2:$BQ$41,51,FALSE)</f>
        <v>En actualización</v>
      </c>
      <c r="N22" s="179" t="str">
        <f>VLOOKUP(D22,CAPEX!$E$2:$BQ$41,53,FALSE)</f>
        <v>En elaboración</v>
      </c>
      <c r="O22" s="179" t="str">
        <f>VLOOKUP(D22,CAPEX!$E$2:$BQ$41,55,FALSE)</f>
        <v>Liberado</v>
      </c>
      <c r="P22" s="179" t="str">
        <f>VLOOKUP(D22,CAPEX!$E$2:$BQ$41,57,FALSE)</f>
        <v>Iniciada</v>
      </c>
      <c r="Q22" s="179" t="str">
        <f>VLOOKUP(D22,CAPEX!$E$2:$BQ$41,60,FALSE)</f>
        <v>Liberado</v>
      </c>
      <c r="R22" s="179" t="str">
        <f>VLOOKUP(D22,CAPEX!$E$2:$BQ$41,58,FALSE)</f>
        <v>En actualización</v>
      </c>
      <c r="S22" s="179" t="str">
        <f>VLOOKUP(D22,CAPEX!$E$2:$BQ$41,62,FALSE)</f>
        <v>Liberado</v>
      </c>
      <c r="T22" s="180" t="str">
        <f>VLOOKUP(D22,CAPEX!$E$2:$BQ$41,64,FALSE)</f>
        <v>En evaluación</v>
      </c>
      <c r="V22" s="409" t="str">
        <f>'Resumen Ejecutivo'!O22</f>
        <v>B</v>
      </c>
    </row>
    <row r="23" spans="2:22" x14ac:dyDescent="0.25">
      <c r="B23" s="30">
        <v>15</v>
      </c>
      <c r="C23" s="89" t="str">
        <f>'Resumen Ejecutivo'!C23</f>
        <v>Thermion</v>
      </c>
      <c r="D23" s="76" t="str">
        <f>'Resumen Ejecutivo'!D23</f>
        <v>Sol de Sonora 70</v>
      </c>
      <c r="E23" s="78" t="s">
        <v>94</v>
      </c>
      <c r="F23" s="78" t="s">
        <v>95</v>
      </c>
      <c r="G23" s="423" t="s">
        <v>57</v>
      </c>
      <c r="H23" s="72" t="str">
        <f>'Resumen Ejecutivo'!H23</f>
        <v>70 MW + 31.43% BESS</v>
      </c>
      <c r="I23" s="73">
        <f>'Resumen Ejecutivo'!I23</f>
        <v>46357</v>
      </c>
      <c r="J23" s="74">
        <f>'Resumen Ejecutivo'!J23</f>
        <v>46844</v>
      </c>
      <c r="K23" s="178" t="str">
        <f>VLOOKUP(D23,CAPEX!$E$2:$BQ$41,48,FALSE)</f>
        <v>Liberado</v>
      </c>
      <c r="L23" s="179" t="str">
        <f>VLOOKUP(D23,CAPEX!$E$2:$BQ$41,50,FALSE)</f>
        <v>Liberado</v>
      </c>
      <c r="M23" s="179" t="str">
        <f>VLOOKUP(D23,CAPEX!$E$2:$BQ$41,51,FALSE)</f>
        <v>En actualización</v>
      </c>
      <c r="N23" s="179" t="str">
        <f>VLOOKUP(D23,CAPEX!$E$2:$BQ$41,53,FALSE)</f>
        <v>En elaboración</v>
      </c>
      <c r="O23" s="179" t="str">
        <f>VLOOKUP(D23,CAPEX!$E$2:$BQ$41,55,FALSE)</f>
        <v>En actualización</v>
      </c>
      <c r="P23" s="179" t="str">
        <f>VLOOKUP(D23,CAPEX!$E$2:$BQ$41,57,FALSE)</f>
        <v>N/A</v>
      </c>
      <c r="Q23" s="179" t="str">
        <f>VLOOKUP(D23,CAPEX!$E$2:$BQ$41,60,FALSE)</f>
        <v>En evaluación</v>
      </c>
      <c r="R23" s="179" t="str">
        <f>VLOOKUP(D23,CAPEX!$E$2:$BQ$41,58,FALSE)</f>
        <v>En actualización</v>
      </c>
      <c r="S23" s="179" t="str">
        <f>VLOOKUP(D23,CAPEX!$E$2:$BQ$41,62,FALSE)</f>
        <v>En evaluación</v>
      </c>
      <c r="T23" s="180" t="str">
        <f>VLOOKUP(D23,CAPEX!$E$2:$BQ$41,64,FALSE)</f>
        <v>En evaluación</v>
      </c>
      <c r="V23" s="409" t="str">
        <f>'Resumen Ejecutivo'!O23</f>
        <v>B</v>
      </c>
    </row>
    <row r="24" spans="2:22" x14ac:dyDescent="0.25">
      <c r="B24" s="30">
        <v>16</v>
      </c>
      <c r="C24" s="89" t="str">
        <f>'Resumen Ejecutivo'!C24</f>
        <v>Actis</v>
      </c>
      <c r="D24" s="76" t="str">
        <f>'Resumen Ejecutivo'!D24</f>
        <v>PV Sandom Solar</v>
      </c>
      <c r="E24" s="78" t="s">
        <v>112</v>
      </c>
      <c r="F24" s="78" t="s">
        <v>91</v>
      </c>
      <c r="G24" s="423" t="s">
        <v>57</v>
      </c>
      <c r="H24" s="72" t="str">
        <f>'Resumen Ejecutivo'!H24</f>
        <v>54 MW + 34.08% BESS</v>
      </c>
      <c r="I24" s="73">
        <f>'Resumen Ejecutivo'!I24</f>
        <v>46478</v>
      </c>
      <c r="J24" s="74">
        <f>'Resumen Ejecutivo'!J24</f>
        <v>47057</v>
      </c>
      <c r="K24" s="178" t="str">
        <f>VLOOKUP(D24,CAPEX!$E$2:$BQ$41,48,FALSE)</f>
        <v>Liberado</v>
      </c>
      <c r="L24" s="179" t="str">
        <f>VLOOKUP(D24,CAPEX!$E$2:$BQ$41,50,FALSE)</f>
        <v>Liberado</v>
      </c>
      <c r="M24" s="179" t="str">
        <f>VLOOKUP(D24,CAPEX!$E$2:$BQ$41,51,FALSE)</f>
        <v>En elaboración</v>
      </c>
      <c r="N24" s="179" t="str">
        <f>VLOOKUP(D24,CAPEX!$E$2:$BQ$41,53,FALSE)</f>
        <v>N/A</v>
      </c>
      <c r="O24" s="179" t="str">
        <f>VLOOKUP(D24,CAPEX!$E$2:$BQ$41,55,FALSE)</f>
        <v>En evaluación</v>
      </c>
      <c r="P24" s="179" t="str">
        <f>VLOOKUP(D24,CAPEX!$E$2:$BQ$41,57,FALSE)</f>
        <v>Iniciada</v>
      </c>
      <c r="Q24" s="179" t="str">
        <f>VLOOKUP(D24,CAPEX!$E$2:$BQ$41,60,FALSE)</f>
        <v>Liberado</v>
      </c>
      <c r="R24" s="179" t="str">
        <f>VLOOKUP(D24,CAPEX!$E$2:$BQ$41,58,FALSE)</f>
        <v>En actualización</v>
      </c>
      <c r="S24" s="179" t="str">
        <f>VLOOKUP(D24,CAPEX!$E$2:$BQ$41,62,FALSE)</f>
        <v>Liberado</v>
      </c>
      <c r="T24" s="180" t="str">
        <f>VLOOKUP(D24,CAPEX!$E$2:$BQ$41,64,FALSE)</f>
        <v>En evaluación</v>
      </c>
      <c r="V24" s="409" t="str">
        <f>'Resumen Ejecutivo'!O24</f>
        <v>B</v>
      </c>
    </row>
    <row r="25" spans="2:22" x14ac:dyDescent="0.25">
      <c r="B25" s="30">
        <v>17</v>
      </c>
      <c r="C25" s="89" t="str">
        <f>'Resumen Ejecutivo'!C25</f>
        <v>Atlántica</v>
      </c>
      <c r="D25" s="76" t="str">
        <f>'Resumen Ejecutivo'!D25</f>
        <v>Dalia 3 (Castamay)</v>
      </c>
      <c r="E25" s="407" t="s">
        <v>91</v>
      </c>
      <c r="F25" s="407" t="s">
        <v>91</v>
      </c>
      <c r="G25" s="424" t="s">
        <v>57</v>
      </c>
      <c r="H25" s="72" t="str">
        <f>'Resumen Ejecutivo'!H25</f>
        <v>100 MW + 30% BESS</v>
      </c>
      <c r="I25" s="73">
        <f>'Resumen Ejecutivo'!I25</f>
        <v>46447</v>
      </c>
      <c r="J25" s="74">
        <f>'Resumen Ejecutivo'!J25</f>
        <v>47118</v>
      </c>
      <c r="K25" s="178" t="str">
        <f>VLOOKUP(D25,CAPEX!$E$2:$BQ$41,48,FALSE)</f>
        <v>En actualización</v>
      </c>
      <c r="L25" s="179" t="str">
        <f>VLOOKUP(D25,CAPEX!$E$2:$BQ$41,50,FALSE)</f>
        <v>Liberado</v>
      </c>
      <c r="M25" s="179" t="str">
        <f>VLOOKUP(D25,CAPEX!$E$2:$BQ$41,51,FALSE)</f>
        <v>En evaluación</v>
      </c>
      <c r="N25" s="179" t="str">
        <f>VLOOKUP(D25,CAPEX!$E$2:$BQ$41,53,FALSE)</f>
        <v>En elaboración</v>
      </c>
      <c r="O25" s="179" t="str">
        <f>VLOOKUP(D25,CAPEX!$E$2:$BQ$41,55,FALSE)</f>
        <v>En evaluación</v>
      </c>
      <c r="P25" s="179" t="str">
        <f>VLOOKUP(D25,CAPEX!$E$2:$BQ$41,57,FALSE)</f>
        <v>Iniciada</v>
      </c>
      <c r="Q25" s="179" t="str">
        <f>VLOOKUP(D25,CAPEX!$E$2:$BQ$41,60,FALSE)</f>
        <v>Liberado</v>
      </c>
      <c r="R25" s="179" t="str">
        <f>VLOOKUP(D25,CAPEX!$E$2:$BQ$41,58,FALSE)</f>
        <v>Liberado</v>
      </c>
      <c r="S25" s="179" t="str">
        <f>VLOOKUP(D25,CAPEX!$E$2:$BQ$41,62,FALSE)</f>
        <v>Liberado</v>
      </c>
      <c r="T25" s="180" t="str">
        <f>VLOOKUP(D25,CAPEX!$E$2:$BQ$41,64,FALSE)</f>
        <v>Liberado</v>
      </c>
      <c r="V25" s="409" t="str">
        <f>'Resumen Ejecutivo'!O25</f>
        <v>B</v>
      </c>
    </row>
    <row r="26" spans="2:22" x14ac:dyDescent="0.25">
      <c r="B26" s="30">
        <v>18</v>
      </c>
      <c r="C26" s="89" t="str">
        <f>'Resumen Ejecutivo'!C26</f>
        <v>Cúbico</v>
      </c>
      <c r="D26" s="76" t="str">
        <f>'Resumen Ejecutivo'!D26</f>
        <v xml:space="preserve">Energías Renovables De México Tres (Hecelchakan) </v>
      </c>
      <c r="E26" s="76" t="str">
        <f>'Resumen Ejecutivo'!E26</f>
        <v>Hecelchakán</v>
      </c>
      <c r="F26" s="76" t="str">
        <f>'Resumen Ejecutivo'!F26</f>
        <v xml:space="preserve"> Campeche</v>
      </c>
      <c r="G26" s="425" t="str">
        <f>'Resumen Ejecutivo'!G26</f>
        <v>Fotovoltaica</v>
      </c>
      <c r="H26" s="72" t="str">
        <f>'Resumen Ejecutivo'!H26</f>
        <v>72 MW + 30% BESS</v>
      </c>
      <c r="I26" s="73">
        <f>'Resumen Ejecutivo'!I26</f>
        <v>46507</v>
      </c>
      <c r="J26" s="74">
        <f>'Resumen Ejecutivo'!J26</f>
        <v>47088</v>
      </c>
      <c r="K26" s="178">
        <f>VLOOKUP(D26,CAPEX!$E$2:$BQ$41,48,FALSE)</f>
        <v>0</v>
      </c>
      <c r="L26" s="179">
        <f>VLOOKUP(D26,CAPEX!$E$2:$BQ$41,50,FALSE)</f>
        <v>0</v>
      </c>
      <c r="M26" s="179">
        <f>VLOOKUP(D26,CAPEX!$E$2:$BQ$41,51,FALSE)</f>
        <v>0</v>
      </c>
      <c r="N26" s="179">
        <f>VLOOKUP(D26,CAPEX!$E$2:$BQ$41,53,FALSE)</f>
        <v>0</v>
      </c>
      <c r="O26" s="179">
        <f>VLOOKUP(D26,CAPEX!$E$2:$BQ$41,55,FALSE)</f>
        <v>0</v>
      </c>
      <c r="P26" s="179">
        <f>VLOOKUP(D26,CAPEX!$E$2:$BQ$41,57,FALSE)</f>
        <v>0</v>
      </c>
      <c r="Q26" s="179">
        <f>VLOOKUP(D26,CAPEX!$E$2:$BQ$41,60,FALSE)</f>
        <v>0</v>
      </c>
      <c r="R26" s="179">
        <f>VLOOKUP(D26,CAPEX!$E$2:$BQ$41,58,FALSE)</f>
        <v>0</v>
      </c>
      <c r="S26" s="179">
        <f>VLOOKUP(D26,CAPEX!$E$2:$BQ$41,62,FALSE)</f>
        <v>0</v>
      </c>
      <c r="T26" s="180">
        <f>VLOOKUP(D26,CAPEX!$E$2:$BQ$41,64,FALSE)</f>
        <v>0</v>
      </c>
      <c r="V26" s="409" t="str">
        <f>'Resumen Ejecutivo'!O26</f>
        <v>C</v>
      </c>
    </row>
    <row r="27" spans="2:22" x14ac:dyDescent="0.25">
      <c r="B27" s="30">
        <v>19</v>
      </c>
      <c r="C27" s="89" t="str">
        <f>'Resumen Ejecutivo'!C27</f>
        <v>Fisterra</v>
      </c>
      <c r="D27" s="76" t="str">
        <f>'Resumen Ejecutivo'!D27</f>
        <v>Planta Solar Cerro Colorado</v>
      </c>
      <c r="E27" s="78" t="s">
        <v>55</v>
      </c>
      <c r="F27" s="78" t="s">
        <v>56</v>
      </c>
      <c r="G27" s="423" t="s">
        <v>57</v>
      </c>
      <c r="H27" s="72" t="str">
        <f>'Resumen Ejecutivo'!H27</f>
        <v>455.68 MW + 30% BESS</v>
      </c>
      <c r="I27" s="73">
        <f>'Resumen Ejecutivo'!I27</f>
        <v>46356</v>
      </c>
      <c r="J27" s="74">
        <f>'Resumen Ejecutivo'!J27</f>
        <v>47360</v>
      </c>
      <c r="K27" s="178">
        <f>VLOOKUP(D27,CAPEX!$E$2:$BQ$41,48,FALSE)</f>
        <v>0</v>
      </c>
      <c r="L27" s="179">
        <f>VLOOKUP(D27,CAPEX!$E$2:$BQ$41,50,FALSE)</f>
        <v>0</v>
      </c>
      <c r="M27" s="179">
        <f>VLOOKUP(D27,CAPEX!$E$2:$BQ$41,51,FALSE)</f>
        <v>0</v>
      </c>
      <c r="N27" s="179">
        <f>VLOOKUP(D27,CAPEX!$E$2:$BQ$41,53,FALSE)</f>
        <v>0</v>
      </c>
      <c r="O27" s="179">
        <f>VLOOKUP(D27,CAPEX!$E$2:$BQ$41,55,FALSE)</f>
        <v>0</v>
      </c>
      <c r="P27" s="179">
        <f>VLOOKUP(D27,CAPEX!$E$2:$BQ$41,57,FALSE)</f>
        <v>0</v>
      </c>
      <c r="Q27" s="179">
        <f>VLOOKUP(D27,CAPEX!$E$2:$BQ$41,60,FALSE)</f>
        <v>0</v>
      </c>
      <c r="R27" s="179">
        <f>VLOOKUP(D27,CAPEX!$E$2:$BQ$41,58,FALSE)</f>
        <v>0</v>
      </c>
      <c r="S27" s="179">
        <f>VLOOKUP(D27,CAPEX!$E$2:$BQ$41,62,FALSE)</f>
        <v>0</v>
      </c>
      <c r="T27" s="180">
        <f>VLOOKUP(D27,CAPEX!$E$2:$BQ$41,64,FALSE)</f>
        <v>0</v>
      </c>
      <c r="V27" s="409" t="str">
        <f>'Resumen Ejecutivo'!O27</f>
        <v>C</v>
      </c>
    </row>
    <row r="28" spans="2:22" x14ac:dyDescent="0.25">
      <c r="B28" s="30">
        <v>20</v>
      </c>
      <c r="C28" s="89" t="str">
        <f>'Resumen Ejecutivo'!C28</f>
        <v>Cúbico</v>
      </c>
      <c r="D28" s="76" t="str">
        <f>'Resumen Ejecutivo'!D28</f>
        <v>Energías Renovables Saas (Peto)</v>
      </c>
      <c r="E28" s="78" t="s">
        <v>62</v>
      </c>
      <c r="F28" s="78" t="s">
        <v>63</v>
      </c>
      <c r="G28" s="423" t="s">
        <v>57</v>
      </c>
      <c r="H28" s="72" t="str">
        <f>'Resumen Ejecutivo'!H28</f>
        <v>72 MW + 30% BESS</v>
      </c>
      <c r="I28" s="73">
        <f>'Resumen Ejecutivo'!I28</f>
        <v>46507</v>
      </c>
      <c r="J28" s="74">
        <f>'Resumen Ejecutivo'!J28</f>
        <v>47058</v>
      </c>
      <c r="K28" s="178">
        <f>VLOOKUP(D28,CAPEX!$E$2:$BQ$41,48,FALSE)</f>
        <v>0</v>
      </c>
      <c r="L28" s="179">
        <f>VLOOKUP(D28,CAPEX!$E$2:$BQ$41,50,FALSE)</f>
        <v>0</v>
      </c>
      <c r="M28" s="179">
        <f>VLOOKUP(D28,CAPEX!$E$2:$BQ$41,51,FALSE)</f>
        <v>0</v>
      </c>
      <c r="N28" s="179">
        <f>VLOOKUP(D28,CAPEX!$E$2:$BQ$41,53,FALSE)</f>
        <v>0</v>
      </c>
      <c r="O28" s="179">
        <f>VLOOKUP(D28,CAPEX!$E$2:$BQ$41,55,FALSE)</f>
        <v>0</v>
      </c>
      <c r="P28" s="179">
        <f>VLOOKUP(D28,CAPEX!$E$2:$BQ$41,57,FALSE)</f>
        <v>0</v>
      </c>
      <c r="Q28" s="179">
        <f>VLOOKUP(D28,CAPEX!$E$2:$BQ$41,60,FALSE)</f>
        <v>0</v>
      </c>
      <c r="R28" s="179">
        <f>VLOOKUP(D28,CAPEX!$E$2:$BQ$41,58,FALSE)</f>
        <v>0</v>
      </c>
      <c r="S28" s="179">
        <f>VLOOKUP(D28,CAPEX!$E$2:$BQ$41,62,FALSE)</f>
        <v>0</v>
      </c>
      <c r="T28" s="180">
        <f>VLOOKUP(D28,CAPEX!$E$2:$BQ$41,64,FALSE)</f>
        <v>0</v>
      </c>
      <c r="V28" s="409" t="str">
        <f>'Resumen Ejecutivo'!O28</f>
        <v>C</v>
      </c>
    </row>
    <row r="29" spans="2:22" x14ac:dyDescent="0.25">
      <c r="B29" s="30">
        <v>21</v>
      </c>
      <c r="C29" s="89" t="str">
        <f>'Resumen Ejecutivo'!C29</f>
        <v>Cúbico</v>
      </c>
      <c r="D29" s="76" t="str">
        <f>'Resumen Ejecutivo'!D29</f>
        <v xml:space="preserve">Energías Renovables Kiin (Tekax) </v>
      </c>
      <c r="E29" s="78" t="s">
        <v>90</v>
      </c>
      <c r="F29" s="78" t="s">
        <v>91</v>
      </c>
      <c r="G29" s="423" t="s">
        <v>57</v>
      </c>
      <c r="H29" s="72" t="str">
        <f>'Resumen Ejecutivo'!H29</f>
        <v>56 MW + 30% BESS</v>
      </c>
      <c r="I29" s="73">
        <f>'Resumen Ejecutivo'!I29</f>
        <v>46507</v>
      </c>
      <c r="J29" s="74">
        <f>'Resumen Ejecutivo'!J29</f>
        <v>47058</v>
      </c>
      <c r="K29" s="178">
        <f>VLOOKUP(D29,CAPEX!$E$2:$BQ$41,48,FALSE)</f>
        <v>0</v>
      </c>
      <c r="L29" s="179">
        <f>VLOOKUP(D29,CAPEX!$E$2:$BQ$41,50,FALSE)</f>
        <v>0</v>
      </c>
      <c r="M29" s="179">
        <f>VLOOKUP(D29,CAPEX!$E$2:$BQ$41,51,FALSE)</f>
        <v>0</v>
      </c>
      <c r="N29" s="179">
        <f>VLOOKUP(D29,CAPEX!$E$2:$BQ$41,53,FALSE)</f>
        <v>0</v>
      </c>
      <c r="O29" s="179">
        <f>VLOOKUP(D29,CAPEX!$E$2:$BQ$41,55,FALSE)</f>
        <v>0</v>
      </c>
      <c r="P29" s="179">
        <f>VLOOKUP(D29,CAPEX!$E$2:$BQ$41,57,FALSE)</f>
        <v>0</v>
      </c>
      <c r="Q29" s="179">
        <f>VLOOKUP(D29,CAPEX!$E$2:$BQ$41,60,FALSE)</f>
        <v>0</v>
      </c>
      <c r="R29" s="179">
        <f>VLOOKUP(D29,CAPEX!$E$2:$BQ$41,58,FALSE)</f>
        <v>0</v>
      </c>
      <c r="S29" s="179">
        <f>VLOOKUP(D29,CAPEX!$E$2:$BQ$41,62,FALSE)</f>
        <v>0</v>
      </c>
      <c r="T29" s="180">
        <f>VLOOKUP(D29,CAPEX!$E$2:$BQ$41,64,FALSE)</f>
        <v>0</v>
      </c>
      <c r="V29" s="409" t="str">
        <f>'Resumen Ejecutivo'!O29</f>
        <v>C</v>
      </c>
    </row>
    <row r="30" spans="2:22" x14ac:dyDescent="0.25">
      <c r="B30" s="30">
        <v>22</v>
      </c>
      <c r="C30" s="89" t="str">
        <f>'Resumen Ejecutivo'!C30</f>
        <v>Grupo Pantera</v>
      </c>
      <c r="D30" s="76" t="str">
        <f>'Resumen Ejecutivo'!D30</f>
        <v>Solitario</v>
      </c>
      <c r="E30" s="78" t="s">
        <v>75</v>
      </c>
      <c r="F30" s="78" t="s">
        <v>76</v>
      </c>
      <c r="G30" s="423" t="s">
        <v>57</v>
      </c>
      <c r="H30" s="72" t="str">
        <f>'Resumen Ejecutivo'!H30</f>
        <v>200 MW + 32.5% BESS</v>
      </c>
      <c r="I30" s="73">
        <f>'Resumen Ejecutivo'!I30</f>
        <v>46388</v>
      </c>
      <c r="J30" s="74">
        <f>'Resumen Ejecutivo'!J30</f>
        <v>47025</v>
      </c>
      <c r="K30" s="178">
        <f>VLOOKUP(D30,CAPEX!$E$2:$BQ$41,48,FALSE)</f>
        <v>0</v>
      </c>
      <c r="L30" s="179">
        <f>VLOOKUP(D30,CAPEX!$E$2:$BQ$41,50,FALSE)</f>
        <v>0</v>
      </c>
      <c r="M30" s="179">
        <f>VLOOKUP(D30,CAPEX!$E$2:$BQ$41,51,FALSE)</f>
        <v>0</v>
      </c>
      <c r="N30" s="179">
        <f>VLOOKUP(D30,CAPEX!$E$2:$BQ$41,53,FALSE)</f>
        <v>0</v>
      </c>
      <c r="O30" s="179">
        <f>VLOOKUP(D30,CAPEX!$E$2:$BQ$41,55,FALSE)</f>
        <v>0</v>
      </c>
      <c r="P30" s="179">
        <f>VLOOKUP(D30,CAPEX!$E$2:$BQ$41,57,FALSE)</f>
        <v>0</v>
      </c>
      <c r="Q30" s="179">
        <f>VLOOKUP(D30,CAPEX!$E$2:$BQ$41,60,FALSE)</f>
        <v>0</v>
      </c>
      <c r="R30" s="179">
        <f>VLOOKUP(D30,CAPEX!$E$2:$BQ$41,58,FALSE)</f>
        <v>0</v>
      </c>
      <c r="S30" s="179">
        <f>VLOOKUP(D30,CAPEX!$E$2:$BQ$41,62,FALSE)</f>
        <v>0</v>
      </c>
      <c r="T30" s="180">
        <f>VLOOKUP(D30,CAPEX!$E$2:$BQ$41,64,FALSE)</f>
        <v>0</v>
      </c>
      <c r="V30" s="409" t="str">
        <f>'Resumen Ejecutivo'!O30</f>
        <v>C</v>
      </c>
    </row>
    <row r="31" spans="2:22" x14ac:dyDescent="0.25">
      <c r="B31" s="30">
        <v>23</v>
      </c>
      <c r="C31" s="89" t="str">
        <f>'Resumen Ejecutivo'!C31</f>
        <v>Polaris</v>
      </c>
      <c r="D31" s="76" t="str">
        <f>'Resumen Ejecutivo'!D31</f>
        <v>Tres Hermanos</v>
      </c>
      <c r="E31" s="78" t="s">
        <v>85</v>
      </c>
      <c r="F31" s="78" t="s">
        <v>86</v>
      </c>
      <c r="G31" s="423" t="s">
        <v>57</v>
      </c>
      <c r="H31" s="72" t="str">
        <f>'Resumen Ejecutivo'!H31</f>
        <v>75 MW + 30% BESS</v>
      </c>
      <c r="I31" s="73">
        <f>'Resumen Ejecutivo'!I31</f>
        <v>46447</v>
      </c>
      <c r="J31" s="74">
        <f>'Resumen Ejecutivo'!J31</f>
        <v>47088</v>
      </c>
      <c r="K31" s="178">
        <f>VLOOKUP(D31,CAPEX!$E$2:$BQ$41,48,FALSE)</f>
        <v>0</v>
      </c>
      <c r="L31" s="179">
        <f>VLOOKUP(D31,CAPEX!$E$2:$BQ$41,50,FALSE)</f>
        <v>0</v>
      </c>
      <c r="M31" s="179">
        <f>VLOOKUP(D31,CAPEX!$E$2:$BQ$41,51,FALSE)</f>
        <v>0</v>
      </c>
      <c r="N31" s="179">
        <f>VLOOKUP(D31,CAPEX!$E$2:$BQ$41,53,FALSE)</f>
        <v>0</v>
      </c>
      <c r="O31" s="179">
        <f>VLOOKUP(D31,CAPEX!$E$2:$BQ$41,55,FALSE)</f>
        <v>0</v>
      </c>
      <c r="P31" s="179">
        <f>VLOOKUP(D31,CAPEX!$E$2:$BQ$41,57,FALSE)</f>
        <v>0</v>
      </c>
      <c r="Q31" s="179">
        <f>VLOOKUP(D31,CAPEX!$E$2:$BQ$41,60,FALSE)</f>
        <v>0</v>
      </c>
      <c r="R31" s="179">
        <f>VLOOKUP(D31,CAPEX!$E$2:$BQ$41,58,FALSE)</f>
        <v>0</v>
      </c>
      <c r="S31" s="179">
        <f>VLOOKUP(D31,CAPEX!$E$2:$BQ$41,62,FALSE)</f>
        <v>0</v>
      </c>
      <c r="T31" s="180">
        <f>VLOOKUP(D31,CAPEX!$E$2:$BQ$41,64,FALSE)</f>
        <v>0</v>
      </c>
      <c r="V31" s="409" t="str">
        <f>'Resumen Ejecutivo'!O31</f>
        <v>C</v>
      </c>
    </row>
    <row r="32" spans="2:22" x14ac:dyDescent="0.25">
      <c r="B32" s="30">
        <v>24</v>
      </c>
      <c r="C32" s="89" t="str">
        <f>'Resumen Ejecutivo'!C32</f>
        <v>Polaris</v>
      </c>
      <c r="D32" s="76" t="str">
        <f>'Resumen Ejecutivo'!D32</f>
        <v>Los Girasoles</v>
      </c>
      <c r="E32" s="78" t="s">
        <v>101</v>
      </c>
      <c r="F32" s="78" t="s">
        <v>67</v>
      </c>
      <c r="G32" s="423" t="s">
        <v>99</v>
      </c>
      <c r="H32" s="72" t="str">
        <f>'Resumen Ejecutivo'!H32</f>
        <v>110 MW + 30% BESS</v>
      </c>
      <c r="I32" s="73">
        <f>'Resumen Ejecutivo'!I32</f>
        <v>46447</v>
      </c>
      <c r="J32" s="74">
        <f>'Resumen Ejecutivo'!J32</f>
        <v>47085</v>
      </c>
      <c r="K32" s="178">
        <f>VLOOKUP(D32,CAPEX!$E$2:$BQ$41,48,FALSE)</f>
        <v>0</v>
      </c>
      <c r="L32" s="179">
        <f>VLOOKUP(D32,CAPEX!$E$2:$BQ$41,50,FALSE)</f>
        <v>0</v>
      </c>
      <c r="M32" s="179">
        <f>VLOOKUP(D32,CAPEX!$E$2:$BQ$41,51,FALSE)</f>
        <v>0</v>
      </c>
      <c r="N32" s="179">
        <f>VLOOKUP(D32,CAPEX!$E$2:$BQ$41,53,FALSE)</f>
        <v>0</v>
      </c>
      <c r="O32" s="179">
        <f>VLOOKUP(D32,CAPEX!$E$2:$BQ$41,55,FALSE)</f>
        <v>0</v>
      </c>
      <c r="P32" s="179">
        <f>VLOOKUP(D32,CAPEX!$E$2:$BQ$41,57,FALSE)</f>
        <v>0</v>
      </c>
      <c r="Q32" s="179">
        <f>VLOOKUP(D32,CAPEX!$E$2:$BQ$41,60,FALSE)</f>
        <v>0</v>
      </c>
      <c r="R32" s="179">
        <f>VLOOKUP(D32,CAPEX!$E$2:$BQ$41,58,FALSE)</f>
        <v>0</v>
      </c>
      <c r="S32" s="179">
        <f>VLOOKUP(D32,CAPEX!$E$2:$BQ$41,62,FALSE)</f>
        <v>0</v>
      </c>
      <c r="T32" s="180">
        <f>VLOOKUP(D32,CAPEX!$E$2:$BQ$41,64,FALSE)</f>
        <v>0</v>
      </c>
      <c r="V32" s="409" t="str">
        <f>'Resumen Ejecutivo'!O32</f>
        <v>C</v>
      </c>
    </row>
    <row r="33" spans="2:22" x14ac:dyDescent="0.25">
      <c r="B33" s="30">
        <v>25</v>
      </c>
      <c r="C33" s="89" t="str">
        <f>'Resumen Ejecutivo'!C33</f>
        <v>Atlántica</v>
      </c>
      <c r="D33" s="76" t="str">
        <f>'Resumen Ejecutivo'!D33</f>
        <v>Fresnillo (PV Atocha)</v>
      </c>
      <c r="E33" s="78" t="s">
        <v>161</v>
      </c>
      <c r="F33" s="78" t="s">
        <v>149</v>
      </c>
      <c r="G33" s="423" t="s">
        <v>57</v>
      </c>
      <c r="H33" s="72" t="str">
        <f>'Resumen Ejecutivo'!H33</f>
        <v>100 MW + 30% BESS</v>
      </c>
      <c r="I33" s="73">
        <f>'Resumen Ejecutivo'!I33</f>
        <v>46447</v>
      </c>
      <c r="J33" s="74">
        <f>'Resumen Ejecutivo'!J33</f>
        <v>47118</v>
      </c>
      <c r="K33" s="178">
        <f>VLOOKUP(D33,CAPEX!$E$2:$BQ$41,48,FALSE)</f>
        <v>0</v>
      </c>
      <c r="L33" s="179">
        <f>VLOOKUP(D33,CAPEX!$E$2:$BQ$41,50,FALSE)</f>
        <v>0</v>
      </c>
      <c r="M33" s="179">
        <f>VLOOKUP(D33,CAPEX!$E$2:$BQ$41,51,FALSE)</f>
        <v>0</v>
      </c>
      <c r="N33" s="179">
        <f>VLOOKUP(D33,CAPEX!$E$2:$BQ$41,53,FALSE)</f>
        <v>0</v>
      </c>
      <c r="O33" s="179">
        <f>VLOOKUP(D33,CAPEX!$E$2:$BQ$41,55,FALSE)</f>
        <v>0</v>
      </c>
      <c r="P33" s="179">
        <f>VLOOKUP(D33,CAPEX!$E$2:$BQ$41,57,FALSE)</f>
        <v>0</v>
      </c>
      <c r="Q33" s="179">
        <f>VLOOKUP(D33,CAPEX!$E$2:$BQ$41,60,FALSE)</f>
        <v>0</v>
      </c>
      <c r="R33" s="179">
        <f>VLOOKUP(D33,CAPEX!$E$2:$BQ$41,58,FALSE)</f>
        <v>0</v>
      </c>
      <c r="S33" s="179">
        <f>VLOOKUP(D33,CAPEX!$E$2:$BQ$41,62,FALSE)</f>
        <v>0</v>
      </c>
      <c r="T33" s="180">
        <f>VLOOKUP(D33,CAPEX!$E$2:$BQ$41,64,FALSE)</f>
        <v>0</v>
      </c>
      <c r="V33" s="409" t="str">
        <f>'Resumen Ejecutivo'!O33</f>
        <v>C</v>
      </c>
    </row>
    <row r="34" spans="2:22" x14ac:dyDescent="0.25">
      <c r="B34" s="30">
        <v>26</v>
      </c>
      <c r="C34" s="89" t="str">
        <f>'Resumen Ejecutivo'!C34</f>
        <v>Actis</v>
      </c>
      <c r="D34" s="76" t="str">
        <f>'Resumen Ejecutivo'!D34</f>
        <v>Viento de Bella Unión</v>
      </c>
      <c r="E34" s="78" t="s">
        <v>79</v>
      </c>
      <c r="F34" s="78" t="s">
        <v>80</v>
      </c>
      <c r="G34" s="423" t="s">
        <v>57</v>
      </c>
      <c r="H34" s="72" t="str">
        <f>'Resumen Ejecutivo'!H34</f>
        <v>120 MW + 34.08% BESS</v>
      </c>
      <c r="I34" s="73">
        <f>'Resumen Ejecutivo'!I34</f>
        <v>46507</v>
      </c>
      <c r="J34" s="74">
        <f>'Resumen Ejecutivo'!J34</f>
        <v>47057</v>
      </c>
      <c r="K34" s="178">
        <f>VLOOKUP(D34,CAPEX!$E$2:$BQ$41,48,FALSE)</f>
        <v>0</v>
      </c>
      <c r="L34" s="179">
        <f>VLOOKUP(D34,CAPEX!$E$2:$BQ$41,50,FALSE)</f>
        <v>0</v>
      </c>
      <c r="M34" s="179">
        <f>VLOOKUP(D34,CAPEX!$E$2:$BQ$41,51,FALSE)</f>
        <v>0</v>
      </c>
      <c r="N34" s="179">
        <f>VLOOKUP(D34,CAPEX!$E$2:$BQ$41,53,FALSE)</f>
        <v>0</v>
      </c>
      <c r="O34" s="179">
        <f>VLOOKUP(D34,CAPEX!$E$2:$BQ$41,55,FALSE)</f>
        <v>0</v>
      </c>
      <c r="P34" s="179">
        <f>VLOOKUP(D34,CAPEX!$E$2:$BQ$41,57,FALSE)</f>
        <v>0</v>
      </c>
      <c r="Q34" s="179">
        <f>VLOOKUP(D34,CAPEX!$E$2:$BQ$41,60,FALSE)</f>
        <v>0</v>
      </c>
      <c r="R34" s="179">
        <f>VLOOKUP(D34,CAPEX!$E$2:$BQ$41,58,FALSE)</f>
        <v>0</v>
      </c>
      <c r="S34" s="179">
        <f>VLOOKUP(D34,CAPEX!$E$2:$BQ$41,62,FALSE)</f>
        <v>0</v>
      </c>
      <c r="T34" s="180">
        <f>VLOOKUP(D34,CAPEX!$E$2:$BQ$41,64,FALSE)</f>
        <v>0</v>
      </c>
      <c r="V34" s="409" t="str">
        <f>'Resumen Ejecutivo'!O34</f>
        <v>C</v>
      </c>
    </row>
    <row r="35" spans="2:22" x14ac:dyDescent="0.25">
      <c r="B35" s="30">
        <v>27</v>
      </c>
      <c r="C35" s="89" t="str">
        <f>'Resumen Ejecutivo'!C35</f>
        <v>Thermion</v>
      </c>
      <c r="D35" s="76" t="str">
        <f>'Resumen Ejecutivo'!D35</f>
        <v>Santa Gertrudis</v>
      </c>
      <c r="E35" s="78" t="s">
        <v>79</v>
      </c>
      <c r="F35" s="78" t="s">
        <v>80</v>
      </c>
      <c r="G35" s="423" t="s">
        <v>57</v>
      </c>
      <c r="H35" s="72" t="str">
        <f>'Resumen Ejecutivo'!H35</f>
        <v>503 MW + 30% BESS</v>
      </c>
      <c r="I35" s="73">
        <f>'Resumen Ejecutivo'!I35</f>
        <v>46376</v>
      </c>
      <c r="J35" s="74">
        <f>'Resumen Ejecutivo'!J35</f>
        <v>47088</v>
      </c>
      <c r="K35" s="178">
        <f>VLOOKUP(D35,CAPEX!$E$2:$BQ$41,48,FALSE)</f>
        <v>0</v>
      </c>
      <c r="L35" s="179">
        <f>VLOOKUP(D35,CAPEX!$E$2:$BQ$41,50,FALSE)</f>
        <v>0</v>
      </c>
      <c r="M35" s="179">
        <f>VLOOKUP(D35,CAPEX!$E$2:$BQ$41,51,FALSE)</f>
        <v>0</v>
      </c>
      <c r="N35" s="179">
        <f>VLOOKUP(D35,CAPEX!$E$2:$BQ$41,53,FALSE)</f>
        <v>0</v>
      </c>
      <c r="O35" s="179">
        <f>VLOOKUP(D35,CAPEX!$E$2:$BQ$41,55,FALSE)</f>
        <v>0</v>
      </c>
      <c r="P35" s="179">
        <f>VLOOKUP(D35,CAPEX!$E$2:$BQ$41,57,FALSE)</f>
        <v>0</v>
      </c>
      <c r="Q35" s="179">
        <f>VLOOKUP(D35,CAPEX!$E$2:$BQ$41,60,FALSE)</f>
        <v>0</v>
      </c>
      <c r="R35" s="179">
        <f>VLOOKUP(D35,CAPEX!$E$2:$BQ$41,58,FALSE)</f>
        <v>0</v>
      </c>
      <c r="S35" s="179">
        <f>VLOOKUP(D35,CAPEX!$E$2:$BQ$41,62,FALSE)</f>
        <v>0</v>
      </c>
      <c r="T35" s="180">
        <f>VLOOKUP(D35,CAPEX!$E$2:$BQ$41,64,FALSE)</f>
        <v>0</v>
      </c>
      <c r="V35" s="409" t="str">
        <f>'Resumen Ejecutivo'!O35</f>
        <v>C</v>
      </c>
    </row>
    <row r="36" spans="2:22" x14ac:dyDescent="0.25">
      <c r="B36" s="30">
        <v>28</v>
      </c>
      <c r="C36" s="89" t="str">
        <f>'Resumen Ejecutivo'!C36</f>
        <v>Grupo Pantera</v>
      </c>
      <c r="D36" s="76" t="str">
        <f>'Resumen Ejecutivo'!D36</f>
        <v>La Noria</v>
      </c>
      <c r="E36" s="78" t="s">
        <v>98</v>
      </c>
      <c r="F36" s="78" t="s">
        <v>67</v>
      </c>
      <c r="G36" s="423" t="s">
        <v>99</v>
      </c>
      <c r="H36" s="72" t="str">
        <f>'Resumen Ejecutivo'!H36</f>
        <v>301.5 MW + 30% BESS</v>
      </c>
      <c r="I36" s="73">
        <f>'Resumen Ejecutivo'!I36</f>
        <v>46478</v>
      </c>
      <c r="J36" s="74">
        <f>'Resumen Ejecutivo'!J36</f>
        <v>47209</v>
      </c>
      <c r="K36" s="178">
        <f>VLOOKUP(D36,CAPEX!$E$2:$BQ$41,48,FALSE)</f>
        <v>0</v>
      </c>
      <c r="L36" s="179">
        <f>VLOOKUP(D36,CAPEX!$E$2:$BQ$41,50,FALSE)</f>
        <v>0</v>
      </c>
      <c r="M36" s="179">
        <f>VLOOKUP(D36,CAPEX!$E$2:$BQ$41,51,FALSE)</f>
        <v>0</v>
      </c>
      <c r="N36" s="179">
        <f>VLOOKUP(D36,CAPEX!$E$2:$BQ$41,53,FALSE)</f>
        <v>0</v>
      </c>
      <c r="O36" s="179">
        <f>VLOOKUP(D36,CAPEX!$E$2:$BQ$41,55,FALSE)</f>
        <v>0</v>
      </c>
      <c r="P36" s="179">
        <f>VLOOKUP(D36,CAPEX!$E$2:$BQ$41,57,FALSE)</f>
        <v>0</v>
      </c>
      <c r="Q36" s="179">
        <f>VLOOKUP(D36,CAPEX!$E$2:$BQ$41,60,FALSE)</f>
        <v>0</v>
      </c>
      <c r="R36" s="179">
        <f>VLOOKUP(D36,CAPEX!$E$2:$BQ$41,58,FALSE)</f>
        <v>0</v>
      </c>
      <c r="S36" s="179">
        <f>VLOOKUP(D36,CAPEX!$E$2:$BQ$41,62,FALSE)</f>
        <v>0</v>
      </c>
      <c r="T36" s="180">
        <f>VLOOKUP(D36,CAPEX!$E$2:$BQ$41,64,FALSE)</f>
        <v>0</v>
      </c>
      <c r="V36" s="409" t="str">
        <f>'Resumen Ejecutivo'!O36</f>
        <v>C</v>
      </c>
    </row>
    <row r="37" spans="2:22" x14ac:dyDescent="0.25">
      <c r="B37" s="30">
        <v>29</v>
      </c>
      <c r="C37" s="89" t="str">
        <f>'Resumen Ejecutivo'!C37</f>
        <v>CSQB Energy</v>
      </c>
      <c r="D37" s="76" t="str">
        <f>'Resumen Ejecutivo'!D37</f>
        <v>Sunora (**)</v>
      </c>
      <c r="E37" s="78" t="s">
        <v>79</v>
      </c>
      <c r="F37" s="78" t="s">
        <v>80</v>
      </c>
      <c r="G37" s="423" t="s">
        <v>57</v>
      </c>
      <c r="H37" s="72" t="str">
        <f>'Resumen Ejecutivo'!H37</f>
        <v>300 MW + 30% BESS</v>
      </c>
      <c r="I37" s="73">
        <f>'Resumen Ejecutivo'!I37</f>
        <v>46507</v>
      </c>
      <c r="J37" s="74">
        <f>'Resumen Ejecutivo'!J37</f>
        <v>47238</v>
      </c>
      <c r="K37" s="178">
        <f>VLOOKUP(D37,CAPEX!$E$2:$BQ$41,48,FALSE)</f>
        <v>0</v>
      </c>
      <c r="L37" s="179">
        <f>VLOOKUP(D37,CAPEX!$E$2:$BQ$41,50,FALSE)</f>
        <v>0</v>
      </c>
      <c r="M37" s="179">
        <f>VLOOKUP(D37,CAPEX!$E$2:$BQ$41,51,FALSE)</f>
        <v>0</v>
      </c>
      <c r="N37" s="179">
        <f>VLOOKUP(D37,CAPEX!$E$2:$BQ$41,53,FALSE)</f>
        <v>0</v>
      </c>
      <c r="O37" s="179">
        <f>VLOOKUP(D37,CAPEX!$E$2:$BQ$41,55,FALSE)</f>
        <v>0</v>
      </c>
      <c r="P37" s="179">
        <f>VLOOKUP(D37,CAPEX!$E$2:$BQ$41,57,FALSE)</f>
        <v>0</v>
      </c>
      <c r="Q37" s="179">
        <f>VLOOKUP(D37,CAPEX!$E$2:$BQ$41,60,FALSE)</f>
        <v>0</v>
      </c>
      <c r="R37" s="179">
        <f>VLOOKUP(D37,CAPEX!$E$2:$BQ$41,58,FALSE)</f>
        <v>0</v>
      </c>
      <c r="S37" s="179">
        <f>VLOOKUP(D37,CAPEX!$E$2:$BQ$41,62,FALSE)</f>
        <v>0</v>
      </c>
      <c r="T37" s="180">
        <f>VLOOKUP(D37,CAPEX!$E$2:$BQ$41,64,FALSE)</f>
        <v>0</v>
      </c>
      <c r="V37" s="409" t="str">
        <f>'Resumen Ejecutivo'!O37</f>
        <v>C</v>
      </c>
    </row>
    <row r="38" spans="2:22" x14ac:dyDescent="0.25">
      <c r="B38" s="30">
        <v>30</v>
      </c>
      <c r="C38" s="89" t="str">
        <f>'Resumen Ejecutivo'!C38</f>
        <v>Thermion</v>
      </c>
      <c r="D38" s="76" t="str">
        <f>'Resumen Ejecutivo'!D38</f>
        <v>Montecristo</v>
      </c>
      <c r="E38" s="78" t="s">
        <v>71</v>
      </c>
      <c r="F38" s="78" t="s">
        <v>72</v>
      </c>
      <c r="G38" s="423" t="s">
        <v>57</v>
      </c>
      <c r="H38" s="72" t="str">
        <f>'Resumen Ejecutivo'!H38</f>
        <v>510 MW + 30% BESS</v>
      </c>
      <c r="I38" s="73">
        <f>'Resumen Ejecutivo'!I38</f>
        <v>46376</v>
      </c>
      <c r="J38" s="74">
        <f>'Resumen Ejecutivo'!J38</f>
        <v>47088</v>
      </c>
      <c r="K38" s="178">
        <f>VLOOKUP(D38,CAPEX!$E$2:$BQ$41,48,FALSE)</f>
        <v>0</v>
      </c>
      <c r="L38" s="179">
        <f>VLOOKUP(D38,CAPEX!$E$2:$BQ$41,50,FALSE)</f>
        <v>0</v>
      </c>
      <c r="M38" s="179">
        <f>VLOOKUP(D38,CAPEX!$E$2:$BQ$41,51,FALSE)</f>
        <v>0</v>
      </c>
      <c r="N38" s="179">
        <f>VLOOKUP(D38,CAPEX!$E$2:$BQ$41,53,FALSE)</f>
        <v>0</v>
      </c>
      <c r="O38" s="179">
        <f>VLOOKUP(D38,CAPEX!$E$2:$BQ$41,55,FALSE)</f>
        <v>0</v>
      </c>
      <c r="P38" s="179">
        <f>VLOOKUP(D38,CAPEX!$E$2:$BQ$41,57,FALSE)</f>
        <v>0</v>
      </c>
      <c r="Q38" s="179">
        <f>VLOOKUP(D38,CAPEX!$E$2:$BQ$41,60,FALSE)</f>
        <v>0</v>
      </c>
      <c r="R38" s="179">
        <f>VLOOKUP(D38,CAPEX!$E$2:$BQ$41,58,FALSE)</f>
        <v>0</v>
      </c>
      <c r="S38" s="179">
        <f>VLOOKUP(D38,CAPEX!$E$2:$BQ$41,62,FALSE)</f>
        <v>0</v>
      </c>
      <c r="T38" s="180">
        <f>VLOOKUP(D38,CAPEX!$E$2:$BQ$41,64,FALSE)</f>
        <v>0</v>
      </c>
      <c r="V38" s="409" t="str">
        <f>'Resumen Ejecutivo'!O38</f>
        <v>C</v>
      </c>
    </row>
    <row r="39" spans="2:22" x14ac:dyDescent="0.25">
      <c r="B39" s="30">
        <v>31</v>
      </c>
      <c r="C39" s="89" t="str">
        <f>'Resumen Ejecutivo'!C39</f>
        <v>MIP Freeman Energy</v>
      </c>
      <c r="D39" s="76" t="str">
        <f>'Resumen Ejecutivo'!D39</f>
        <v>CFV Las Garzas (**)</v>
      </c>
      <c r="E39" s="78" t="s">
        <v>109</v>
      </c>
      <c r="F39" s="78" t="s">
        <v>91</v>
      </c>
      <c r="G39" s="423" t="s">
        <v>57</v>
      </c>
      <c r="H39" s="72" t="str">
        <f>'Resumen Ejecutivo'!H39</f>
        <v>270 MW + 30% BESS</v>
      </c>
      <c r="I39" s="73">
        <f>'Resumen Ejecutivo'!I39</f>
        <v>46477</v>
      </c>
      <c r="J39" s="74">
        <f>'Resumen Ejecutivo'!J39</f>
        <v>47302</v>
      </c>
      <c r="K39" s="178">
        <f>VLOOKUP(D39,CAPEX!$E$2:$BQ$41,48,FALSE)</f>
        <v>0</v>
      </c>
      <c r="L39" s="179">
        <f>VLOOKUP(D39,CAPEX!$E$2:$BQ$41,50,FALSE)</f>
        <v>0</v>
      </c>
      <c r="M39" s="179">
        <f>VLOOKUP(D39,CAPEX!$E$2:$BQ$41,51,FALSE)</f>
        <v>0</v>
      </c>
      <c r="N39" s="179">
        <f>VLOOKUP(D39,CAPEX!$E$2:$BQ$41,53,FALSE)</f>
        <v>0</v>
      </c>
      <c r="O39" s="179">
        <f>VLOOKUP(D39,CAPEX!$E$2:$BQ$41,55,FALSE)</f>
        <v>0</v>
      </c>
      <c r="P39" s="179">
        <f>VLOOKUP(D39,CAPEX!$E$2:$BQ$41,57,FALSE)</f>
        <v>0</v>
      </c>
      <c r="Q39" s="179">
        <f>VLOOKUP(D39,CAPEX!$E$2:$BQ$41,60,FALSE)</f>
        <v>0</v>
      </c>
      <c r="R39" s="179">
        <f>VLOOKUP(D39,CAPEX!$E$2:$BQ$41,58,FALSE)</f>
        <v>0</v>
      </c>
      <c r="S39" s="179">
        <f>VLOOKUP(D39,CAPEX!$E$2:$BQ$41,62,FALSE)</f>
        <v>0</v>
      </c>
      <c r="T39" s="180">
        <f>VLOOKUP(D39,CAPEX!$E$2:$BQ$41,64,FALSE)</f>
        <v>0</v>
      </c>
      <c r="V39" s="409" t="str">
        <f>'Resumen Ejecutivo'!O39</f>
        <v>C</v>
      </c>
    </row>
    <row r="40" spans="2:22" x14ac:dyDescent="0.25">
      <c r="B40" s="30">
        <v>32</v>
      </c>
      <c r="C40" s="89" t="str">
        <f>'Resumen Ejecutivo'!C40</f>
        <v>Cúbico</v>
      </c>
      <c r="D40" s="76" t="str">
        <f>'Resumen Ejecutivo'!D40</f>
        <v>Energía Limpia el Mezquite</v>
      </c>
      <c r="E40" s="78" t="s">
        <v>94</v>
      </c>
      <c r="F40" s="78" t="s">
        <v>95</v>
      </c>
      <c r="G40" s="423" t="s">
        <v>57</v>
      </c>
      <c r="H40" s="72" t="str">
        <f>'Resumen Ejecutivo'!H40</f>
        <v>300 MW + 30% BESS</v>
      </c>
      <c r="I40" s="73">
        <f>'Resumen Ejecutivo'!I40</f>
        <v>46507</v>
      </c>
      <c r="J40" s="74">
        <f>'Resumen Ejecutivo'!J40</f>
        <v>47300</v>
      </c>
      <c r="K40" s="178">
        <f>VLOOKUP(D40,CAPEX!$E$2:$BQ$41,48,FALSE)</f>
        <v>0</v>
      </c>
      <c r="L40" s="179">
        <f>VLOOKUP(D40,CAPEX!$E$2:$BQ$41,50,FALSE)</f>
        <v>0</v>
      </c>
      <c r="M40" s="179">
        <f>VLOOKUP(D40,CAPEX!$E$2:$BQ$41,51,FALSE)</f>
        <v>0</v>
      </c>
      <c r="N40" s="179">
        <f>VLOOKUP(D40,CAPEX!$E$2:$BQ$41,53,FALSE)</f>
        <v>0</v>
      </c>
      <c r="O40" s="179">
        <f>VLOOKUP(D40,CAPEX!$E$2:$BQ$41,55,FALSE)</f>
        <v>0</v>
      </c>
      <c r="P40" s="179">
        <f>VLOOKUP(D40,CAPEX!$E$2:$BQ$41,57,FALSE)</f>
        <v>0</v>
      </c>
      <c r="Q40" s="179">
        <f>VLOOKUP(D40,CAPEX!$E$2:$BQ$41,60,FALSE)</f>
        <v>0</v>
      </c>
      <c r="R40" s="179">
        <f>VLOOKUP(D40,CAPEX!$E$2:$BQ$41,58,FALSE)</f>
        <v>0</v>
      </c>
      <c r="S40" s="179">
        <f>VLOOKUP(D40,CAPEX!$E$2:$BQ$41,62,FALSE)</f>
        <v>0</v>
      </c>
      <c r="T40" s="180">
        <f>VLOOKUP(D40,CAPEX!$E$2:$BQ$41,64,FALSE)</f>
        <v>0</v>
      </c>
      <c r="V40" s="409" t="str">
        <f>'Resumen Ejecutivo'!O40</f>
        <v>C</v>
      </c>
    </row>
    <row r="41" spans="2:22" x14ac:dyDescent="0.25">
      <c r="B41" s="30">
        <v>33</v>
      </c>
      <c r="C41" s="89" t="str">
        <f>'Resumen Ejecutivo'!C41</f>
        <v>SuKarne</v>
      </c>
      <c r="D41" s="76" t="str">
        <f>'Resumen Ejecutivo'!D41</f>
        <v>CFV Quasara</v>
      </c>
      <c r="E41" s="78" t="s">
        <v>112</v>
      </c>
      <c r="F41" s="78" t="s">
        <v>91</v>
      </c>
      <c r="G41" s="423" t="s">
        <v>57</v>
      </c>
      <c r="H41" s="72" t="str">
        <f>'Resumen Ejecutivo'!H41</f>
        <v>150 MW + 30% BESS</v>
      </c>
      <c r="I41" s="73">
        <f>'Resumen Ejecutivo'!I41</f>
        <v>46447</v>
      </c>
      <c r="J41" s="74">
        <f>'Resumen Ejecutivo'!J41</f>
        <v>47119</v>
      </c>
      <c r="K41" s="178">
        <f>VLOOKUP(D41,CAPEX!$E$2:$BQ$41,48,FALSE)</f>
        <v>0</v>
      </c>
      <c r="L41" s="179">
        <f>VLOOKUP(D41,CAPEX!$E$2:$BQ$41,50,FALSE)</f>
        <v>0</v>
      </c>
      <c r="M41" s="179">
        <f>VLOOKUP(D41,CAPEX!$E$2:$BQ$41,51,FALSE)</f>
        <v>0</v>
      </c>
      <c r="N41" s="179">
        <f>VLOOKUP(D41,CAPEX!$E$2:$BQ$41,53,FALSE)</f>
        <v>0</v>
      </c>
      <c r="O41" s="179">
        <f>VLOOKUP(D41,CAPEX!$E$2:$BQ$41,55,FALSE)</f>
        <v>0</v>
      </c>
      <c r="P41" s="179">
        <f>VLOOKUP(D41,CAPEX!$E$2:$BQ$41,57,FALSE)</f>
        <v>0</v>
      </c>
      <c r="Q41" s="179">
        <f>VLOOKUP(D41,CAPEX!$E$2:$BQ$41,60,FALSE)</f>
        <v>0</v>
      </c>
      <c r="R41" s="179">
        <f>VLOOKUP(D41,CAPEX!$E$2:$BQ$41,58,FALSE)</f>
        <v>0</v>
      </c>
      <c r="S41" s="179">
        <f>VLOOKUP(D41,CAPEX!$E$2:$BQ$41,62,FALSE)</f>
        <v>0</v>
      </c>
      <c r="T41" s="180">
        <f>VLOOKUP(D41,CAPEX!$E$2:$BQ$41,64,FALSE)</f>
        <v>0</v>
      </c>
      <c r="V41" s="409" t="str">
        <f>'Resumen Ejecutivo'!O41</f>
        <v>C</v>
      </c>
    </row>
    <row r="42" spans="2:22" x14ac:dyDescent="0.25">
      <c r="B42" s="30">
        <v>34</v>
      </c>
      <c r="C42" s="89" t="str">
        <f>'Resumen Ejecutivo'!C42</f>
        <v>CSQB Energy</v>
      </c>
      <c r="D42" s="76" t="str">
        <f>'Resumen Ejecutivo'!D42</f>
        <v>La Poza Solar (**)</v>
      </c>
      <c r="E42" s="407" t="s">
        <v>91</v>
      </c>
      <c r="F42" s="407" t="s">
        <v>91</v>
      </c>
      <c r="G42" s="424" t="s">
        <v>57</v>
      </c>
      <c r="H42" s="72" t="str">
        <f>'Resumen Ejecutivo'!H42</f>
        <v>300 MW + 30% BESS</v>
      </c>
      <c r="I42" s="73">
        <f>'Resumen Ejecutivo'!I42</f>
        <v>46507</v>
      </c>
      <c r="J42" s="74">
        <f>'Resumen Ejecutivo'!J42</f>
        <v>47238</v>
      </c>
      <c r="K42" s="178">
        <f>VLOOKUP(D42,CAPEX!$E$2:$BQ$41,48,FALSE)</f>
        <v>0</v>
      </c>
      <c r="L42" s="179">
        <f>VLOOKUP(D42,CAPEX!$E$2:$BQ$41,50,FALSE)</f>
        <v>0</v>
      </c>
      <c r="M42" s="179">
        <f>VLOOKUP(D42,CAPEX!$E$2:$BQ$41,51,FALSE)</f>
        <v>0</v>
      </c>
      <c r="N42" s="179">
        <f>VLOOKUP(D42,CAPEX!$E$2:$BQ$41,53,FALSE)</f>
        <v>0</v>
      </c>
      <c r="O42" s="179">
        <f>VLOOKUP(D42,CAPEX!$E$2:$BQ$41,55,FALSE)</f>
        <v>0</v>
      </c>
      <c r="P42" s="179">
        <f>VLOOKUP(D42,CAPEX!$E$2:$BQ$41,57,FALSE)</f>
        <v>0</v>
      </c>
      <c r="Q42" s="179">
        <f>VLOOKUP(D42,CAPEX!$E$2:$BQ$41,60,FALSE)</f>
        <v>0</v>
      </c>
      <c r="R42" s="179">
        <f>VLOOKUP(D42,CAPEX!$E$2:$BQ$41,58,FALSE)</f>
        <v>0</v>
      </c>
      <c r="S42" s="179">
        <f>VLOOKUP(D42,CAPEX!$E$2:$BQ$41,62,FALSE)</f>
        <v>0</v>
      </c>
      <c r="T42" s="180">
        <f>VLOOKUP(D42,CAPEX!$E$2:$BQ$41,64,FALSE)</f>
        <v>0</v>
      </c>
      <c r="V42" s="409" t="str">
        <f>'Resumen Ejecutivo'!O42</f>
        <v>C</v>
      </c>
    </row>
    <row r="43" spans="2:22" x14ac:dyDescent="0.25">
      <c r="B43" s="30">
        <v>35</v>
      </c>
      <c r="C43" s="89" t="str">
        <f>'Resumen Ejecutivo'!C43</f>
        <v>CSQB Energy</v>
      </c>
      <c r="D43" s="76" t="str">
        <f>'Resumen Ejecutivo'!D43</f>
        <v>Cimarrón Solar (**)</v>
      </c>
      <c r="E43" s="76" t="str">
        <f>'Resumen Ejecutivo'!E43</f>
        <v>Hermosillo</v>
      </c>
      <c r="F43" s="76" t="str">
        <f>'Resumen Ejecutivo'!F43</f>
        <v xml:space="preserve"> Sonora</v>
      </c>
      <c r="G43" s="425" t="str">
        <f>'Resumen Ejecutivo'!G43</f>
        <v>Fotovoltaica</v>
      </c>
      <c r="H43" s="72" t="str">
        <f>'Resumen Ejecutivo'!H43</f>
        <v>300 MW + 30% BESS</v>
      </c>
      <c r="I43" s="73">
        <f>'Resumen Ejecutivo'!I43</f>
        <v>46507</v>
      </c>
      <c r="J43" s="74">
        <f>'Resumen Ejecutivo'!J43</f>
        <v>47238</v>
      </c>
      <c r="K43" s="178">
        <f>VLOOKUP(D43,CAPEX!$E$2:$BQ$41,48,FALSE)</f>
        <v>0</v>
      </c>
      <c r="L43" s="179">
        <f>VLOOKUP(D43,CAPEX!$E$2:$BQ$41,50,FALSE)</f>
        <v>0</v>
      </c>
      <c r="M43" s="179">
        <f>VLOOKUP(D43,CAPEX!$E$2:$BQ$41,51,FALSE)</f>
        <v>0</v>
      </c>
      <c r="N43" s="179">
        <f>VLOOKUP(D43,CAPEX!$E$2:$BQ$41,53,FALSE)</f>
        <v>0</v>
      </c>
      <c r="O43" s="179">
        <f>VLOOKUP(D43,CAPEX!$E$2:$BQ$41,55,FALSE)</f>
        <v>0</v>
      </c>
      <c r="P43" s="179">
        <f>VLOOKUP(D43,CAPEX!$E$2:$BQ$41,57,FALSE)</f>
        <v>0</v>
      </c>
      <c r="Q43" s="179">
        <f>VLOOKUP(D43,CAPEX!$E$2:$BQ$41,60,FALSE)</f>
        <v>0</v>
      </c>
      <c r="R43" s="179">
        <f>VLOOKUP(D43,CAPEX!$E$2:$BQ$41,58,FALSE)</f>
        <v>0</v>
      </c>
      <c r="S43" s="179">
        <f>VLOOKUP(D43,CAPEX!$E$2:$BQ$41,62,FALSE)</f>
        <v>0</v>
      </c>
      <c r="T43" s="180">
        <f>VLOOKUP(D43,CAPEX!$E$2:$BQ$41,64,FALSE)</f>
        <v>0</v>
      </c>
      <c r="V43" s="409" t="str">
        <f>'Resumen Ejecutivo'!O43</f>
        <v>C</v>
      </c>
    </row>
    <row r="44" spans="2:22" x14ac:dyDescent="0.25">
      <c r="B44" s="30">
        <v>36</v>
      </c>
      <c r="C44" s="89" t="str">
        <f>'Resumen Ejecutivo'!C44</f>
        <v>Thermion</v>
      </c>
      <c r="D44" s="76" t="str">
        <f>'Resumen Ejecutivo'!D44</f>
        <v>El Guajillo</v>
      </c>
      <c r="E44" s="78" t="s">
        <v>55</v>
      </c>
      <c r="F44" s="78" t="s">
        <v>56</v>
      </c>
      <c r="G44" s="423" t="s">
        <v>57</v>
      </c>
      <c r="H44" s="72" t="str">
        <f>'Resumen Ejecutivo'!H44</f>
        <v>468 MW + 30% BESS</v>
      </c>
      <c r="I44" s="73">
        <f>'Resumen Ejecutivo'!I44</f>
        <v>46376</v>
      </c>
      <c r="J44" s="74">
        <f>'Resumen Ejecutivo'!J44</f>
        <v>47088</v>
      </c>
      <c r="K44" s="178">
        <f>VLOOKUP(D44,CAPEX!$E$2:$BQ$41,48,FALSE)</f>
        <v>0</v>
      </c>
      <c r="L44" s="179">
        <f>VLOOKUP(D44,CAPEX!$E$2:$BQ$41,50,FALSE)</f>
        <v>0</v>
      </c>
      <c r="M44" s="179">
        <f>VLOOKUP(D44,CAPEX!$E$2:$BQ$41,51,FALSE)</f>
        <v>0</v>
      </c>
      <c r="N44" s="179">
        <f>VLOOKUP(D44,CAPEX!$E$2:$BQ$41,53,FALSE)</f>
        <v>0</v>
      </c>
      <c r="O44" s="179">
        <f>VLOOKUP(D44,CAPEX!$E$2:$BQ$41,55,FALSE)</f>
        <v>0</v>
      </c>
      <c r="P44" s="179">
        <f>VLOOKUP(D44,CAPEX!$E$2:$BQ$41,57,FALSE)</f>
        <v>0</v>
      </c>
      <c r="Q44" s="179">
        <f>VLOOKUP(D44,CAPEX!$E$2:$BQ$41,60,FALSE)</f>
        <v>0</v>
      </c>
      <c r="R44" s="179">
        <f>VLOOKUP(D44,CAPEX!$E$2:$BQ$41,58,FALSE)</f>
        <v>0</v>
      </c>
      <c r="S44" s="179">
        <f>VLOOKUP(D44,CAPEX!$E$2:$BQ$41,62,FALSE)</f>
        <v>0</v>
      </c>
      <c r="T44" s="180">
        <f>VLOOKUP(D44,CAPEX!$E$2:$BQ$41,64,FALSE)</f>
        <v>0</v>
      </c>
      <c r="V44" s="409" t="str">
        <f>'Resumen Ejecutivo'!O44</f>
        <v>C</v>
      </c>
    </row>
    <row r="45" spans="2:22" x14ac:dyDescent="0.25">
      <c r="B45" s="30">
        <v>37</v>
      </c>
      <c r="C45" s="89" t="str">
        <f>'Resumen Ejecutivo'!C45</f>
        <v>Eléctrica Aselco</v>
      </c>
      <c r="D45" s="76" t="str">
        <f>'Resumen Ejecutivo'!D45</f>
        <v>El Palmar</v>
      </c>
      <c r="E45" s="78" t="s">
        <v>62</v>
      </c>
      <c r="F45" s="78" t="s">
        <v>63</v>
      </c>
      <c r="G45" s="423" t="s">
        <v>57</v>
      </c>
      <c r="H45" s="72" t="str">
        <f>'Resumen Ejecutivo'!H45</f>
        <v>120 MW + 30% BESS</v>
      </c>
      <c r="I45" s="73">
        <f>'Resumen Ejecutivo'!I45</f>
        <v>46452</v>
      </c>
      <c r="J45" s="74">
        <f>'Resumen Ejecutivo'!J45</f>
        <v>47238</v>
      </c>
      <c r="K45" s="178">
        <f>VLOOKUP(D45,CAPEX!$E$2:$BQ$41,48,FALSE)</f>
        <v>0</v>
      </c>
      <c r="L45" s="179">
        <f>VLOOKUP(D45,CAPEX!$E$2:$BQ$41,50,FALSE)</f>
        <v>0</v>
      </c>
      <c r="M45" s="179">
        <f>VLOOKUP(D45,CAPEX!$E$2:$BQ$41,51,FALSE)</f>
        <v>0</v>
      </c>
      <c r="N45" s="179">
        <f>VLOOKUP(D45,CAPEX!$E$2:$BQ$41,53,FALSE)</f>
        <v>0</v>
      </c>
      <c r="O45" s="179">
        <f>VLOOKUP(D45,CAPEX!$E$2:$BQ$41,55,FALSE)</f>
        <v>0</v>
      </c>
      <c r="P45" s="179">
        <f>VLOOKUP(D45,CAPEX!$E$2:$BQ$41,57,FALSE)</f>
        <v>0</v>
      </c>
      <c r="Q45" s="179">
        <f>VLOOKUP(D45,CAPEX!$E$2:$BQ$41,60,FALSE)</f>
        <v>0</v>
      </c>
      <c r="R45" s="179">
        <f>VLOOKUP(D45,CAPEX!$E$2:$BQ$41,58,FALSE)</f>
        <v>0</v>
      </c>
      <c r="S45" s="179">
        <f>VLOOKUP(D45,CAPEX!$E$2:$BQ$41,62,FALSE)</f>
        <v>0</v>
      </c>
      <c r="T45" s="180">
        <f>VLOOKUP(D45,CAPEX!$E$2:$BQ$41,64,FALSE)</f>
        <v>0</v>
      </c>
      <c r="V45" s="409" t="str">
        <f>'Resumen Ejecutivo'!O45</f>
        <v>C</v>
      </c>
    </row>
    <row r="46" spans="2:22" x14ac:dyDescent="0.25">
      <c r="B46" s="30">
        <v>38</v>
      </c>
      <c r="C46" s="89" t="str">
        <f>'Resumen Ejecutivo'!C46</f>
        <v>Eléctrica Aselco</v>
      </c>
      <c r="D46" s="76" t="str">
        <f>'Resumen Ejecutivo'!D46</f>
        <v>Tikinmul</v>
      </c>
      <c r="E46" s="78" t="s">
        <v>90</v>
      </c>
      <c r="F46" s="78" t="s">
        <v>91</v>
      </c>
      <c r="G46" s="423" t="s">
        <v>57</v>
      </c>
      <c r="H46" s="72" t="str">
        <f>'Resumen Ejecutivo'!H46</f>
        <v>170 MW + 30% BESS</v>
      </c>
      <c r="I46" s="73">
        <f>'Resumen Ejecutivo'!I46</f>
        <v>46461</v>
      </c>
      <c r="J46" s="74">
        <f>'Resumen Ejecutivo'!J46</f>
        <v>47238</v>
      </c>
      <c r="K46" s="178">
        <f>VLOOKUP(D46,CAPEX!$E$2:$BQ$41,48,FALSE)</f>
        <v>0</v>
      </c>
      <c r="L46" s="179">
        <f>VLOOKUP(D46,CAPEX!$E$2:$BQ$41,50,FALSE)</f>
        <v>0</v>
      </c>
      <c r="M46" s="179">
        <f>VLOOKUP(D46,CAPEX!$E$2:$BQ$41,51,FALSE)</f>
        <v>0</v>
      </c>
      <c r="N46" s="179">
        <f>VLOOKUP(D46,CAPEX!$E$2:$BQ$41,53,FALSE)</f>
        <v>0</v>
      </c>
      <c r="O46" s="179">
        <f>VLOOKUP(D46,CAPEX!$E$2:$BQ$41,55,FALSE)</f>
        <v>0</v>
      </c>
      <c r="P46" s="179">
        <f>VLOOKUP(D46,CAPEX!$E$2:$BQ$41,57,FALSE)</f>
        <v>0</v>
      </c>
      <c r="Q46" s="179">
        <f>VLOOKUP(D46,CAPEX!$E$2:$BQ$41,60,FALSE)</f>
        <v>0</v>
      </c>
      <c r="R46" s="179">
        <f>VLOOKUP(D46,CAPEX!$E$2:$BQ$41,58,FALSE)</f>
        <v>0</v>
      </c>
      <c r="S46" s="179">
        <f>VLOOKUP(D46,CAPEX!$E$2:$BQ$41,62,FALSE)</f>
        <v>0</v>
      </c>
      <c r="T46" s="180">
        <f>VLOOKUP(D46,CAPEX!$E$2:$BQ$41,64,FALSE)</f>
        <v>0</v>
      </c>
      <c r="V46" s="409" t="str">
        <f>'Resumen Ejecutivo'!O46</f>
        <v>C</v>
      </c>
    </row>
    <row r="47" spans="2:22" x14ac:dyDescent="0.25">
      <c r="B47" s="30">
        <v>39</v>
      </c>
      <c r="C47" s="89" t="str">
        <f>'Resumen Ejecutivo'!C47</f>
        <v>Eléctrica Aselco</v>
      </c>
      <c r="D47" s="76" t="str">
        <f>'Resumen Ejecutivo'!D47</f>
        <v>La Pasión</v>
      </c>
      <c r="E47" s="78" t="s">
        <v>75</v>
      </c>
      <c r="F47" s="78" t="s">
        <v>76</v>
      </c>
      <c r="G47" s="423" t="s">
        <v>57</v>
      </c>
      <c r="H47" s="72" t="str">
        <f>'Resumen Ejecutivo'!H47</f>
        <v>66 MW + 30% BESS</v>
      </c>
      <c r="I47" s="73">
        <f>'Resumen Ejecutivo'!I47</f>
        <v>46461</v>
      </c>
      <c r="J47" s="74">
        <f>'Resumen Ejecutivo'!J47</f>
        <v>47057</v>
      </c>
      <c r="K47" s="178">
        <f>VLOOKUP(D47,CAPEX!$E$2:$BQ$41,48,FALSE)</f>
        <v>0</v>
      </c>
      <c r="L47" s="179">
        <f>VLOOKUP(D47,CAPEX!$E$2:$BQ$41,50,FALSE)</f>
        <v>0</v>
      </c>
      <c r="M47" s="179">
        <f>VLOOKUP(D47,CAPEX!$E$2:$BQ$41,51,FALSE)</f>
        <v>0</v>
      </c>
      <c r="N47" s="179">
        <f>VLOOKUP(D47,CAPEX!$E$2:$BQ$41,53,FALSE)</f>
        <v>0</v>
      </c>
      <c r="O47" s="179">
        <f>VLOOKUP(D47,CAPEX!$E$2:$BQ$41,55,FALSE)</f>
        <v>0</v>
      </c>
      <c r="P47" s="179">
        <f>VLOOKUP(D47,CAPEX!$E$2:$BQ$41,57,FALSE)</f>
        <v>0</v>
      </c>
      <c r="Q47" s="179">
        <f>VLOOKUP(D47,CAPEX!$E$2:$BQ$41,60,FALSE)</f>
        <v>0</v>
      </c>
      <c r="R47" s="179">
        <f>VLOOKUP(D47,CAPEX!$E$2:$BQ$41,58,FALSE)</f>
        <v>0</v>
      </c>
      <c r="S47" s="179">
        <f>VLOOKUP(D47,CAPEX!$E$2:$BQ$41,62,FALSE)</f>
        <v>0</v>
      </c>
      <c r="T47" s="180">
        <f>VLOOKUP(D47,CAPEX!$E$2:$BQ$41,64,FALSE)</f>
        <v>0</v>
      </c>
      <c r="V47" s="409" t="str">
        <f>'Resumen Ejecutivo'!O47</f>
        <v>C</v>
      </c>
    </row>
    <row r="48" spans="2:22" ht="14.25" thickBot="1" x14ac:dyDescent="0.3">
      <c r="B48" s="30">
        <v>40</v>
      </c>
      <c r="C48" s="415" t="str">
        <f>'Resumen Ejecutivo'!C48</f>
        <v>Enhol &amp; GEMEX [Terralia]</v>
      </c>
      <c r="D48" s="416" t="str">
        <f>'Resumen Ejecutivo'!D48</f>
        <v>Sierra Madre (El Chorro) (*)</v>
      </c>
      <c r="E48" s="81" t="s">
        <v>85</v>
      </c>
      <c r="F48" s="81" t="s">
        <v>86</v>
      </c>
      <c r="G48" s="426" t="s">
        <v>57</v>
      </c>
      <c r="H48" s="197" t="str">
        <f>'Resumen Ejecutivo'!H48</f>
        <v>580 MW + 30% BESS</v>
      </c>
      <c r="I48" s="116" t="str">
        <f>'Resumen Ejecutivo'!I48</f>
        <v>SIN DATO</v>
      </c>
      <c r="J48" s="196" t="str">
        <f>'Resumen Ejecutivo'!J48</f>
        <v>SIN DATO</v>
      </c>
      <c r="K48" s="181">
        <f>VLOOKUP(D48,CAPEX!$E$2:$BQ$41,48,FALSE)</f>
        <v>0</v>
      </c>
      <c r="L48" s="182">
        <f>VLOOKUP(D48,CAPEX!$E$2:$BQ$41,50,FALSE)</f>
        <v>0</v>
      </c>
      <c r="M48" s="182">
        <f>VLOOKUP(D48,CAPEX!$E$2:$BQ$41,51,FALSE)</f>
        <v>0</v>
      </c>
      <c r="N48" s="182">
        <f>VLOOKUP(D48,CAPEX!$E$2:$BQ$41,53,FALSE)</f>
        <v>0</v>
      </c>
      <c r="O48" s="182">
        <f>VLOOKUP(D48,CAPEX!$E$2:$BQ$41,55,FALSE)</f>
        <v>0</v>
      </c>
      <c r="P48" s="182">
        <f>VLOOKUP(D48,CAPEX!$E$2:$BQ$41,57,FALSE)</f>
        <v>0</v>
      </c>
      <c r="Q48" s="182">
        <f>VLOOKUP(D48,CAPEX!$E$2:$BQ$41,60,FALSE)</f>
        <v>0</v>
      </c>
      <c r="R48" s="182">
        <f>VLOOKUP(D48,CAPEX!$E$2:$BQ$41,58,FALSE)</f>
        <v>0</v>
      </c>
      <c r="S48" s="182">
        <f>VLOOKUP(D48,CAPEX!$E$2:$BQ$41,62,FALSE)</f>
        <v>0</v>
      </c>
      <c r="T48" s="183">
        <f>VLOOKUP(D48,CAPEX!$E$2:$BQ$41,64,FALSE)</f>
        <v>0</v>
      </c>
      <c r="V48" s="417" t="str">
        <f>'Resumen Ejecutivo'!O48</f>
        <v>C</v>
      </c>
    </row>
    <row r="49" spans="3:22" ht="14.25" thickBot="1" x14ac:dyDescent="0.3"/>
    <row r="50" spans="3:22" ht="14.25" thickBot="1" x14ac:dyDescent="0.3">
      <c r="C50" s="213" t="s">
        <v>19</v>
      </c>
      <c r="D50" s="260"/>
      <c r="E50" s="214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1"/>
    </row>
    <row r="51" spans="3:22" ht="13.5" customHeight="1" x14ac:dyDescent="0.25">
      <c r="C51" s="272" t="s">
        <v>20</v>
      </c>
      <c r="D51" s="121" t="s">
        <v>21</v>
      </c>
      <c r="E51" s="266" t="s">
        <v>22</v>
      </c>
      <c r="F51" s="275" t="s">
        <v>23</v>
      </c>
      <c r="G51" s="276"/>
      <c r="H51" s="276"/>
      <c r="I51" s="276"/>
      <c r="J51" s="277"/>
      <c r="K51" s="278" t="s">
        <v>114</v>
      </c>
      <c r="L51" s="287" t="s">
        <v>421</v>
      </c>
      <c r="M51" s="288"/>
      <c r="N51" s="288"/>
      <c r="O51" s="288"/>
      <c r="P51" s="288"/>
      <c r="Q51" s="288"/>
      <c r="R51" s="288"/>
      <c r="S51" s="288"/>
      <c r="T51" s="288"/>
      <c r="U51" s="288"/>
      <c r="V51" s="289"/>
    </row>
    <row r="52" spans="3:22" x14ac:dyDescent="0.25">
      <c r="C52" s="273"/>
      <c r="D52" s="122" t="s">
        <v>24</v>
      </c>
      <c r="E52" s="267"/>
      <c r="F52" s="251" t="s">
        <v>25</v>
      </c>
      <c r="G52" s="252"/>
      <c r="H52" s="252"/>
      <c r="I52" s="252"/>
      <c r="J52" s="253"/>
      <c r="K52" s="279"/>
      <c r="L52" s="284" t="s">
        <v>424</v>
      </c>
      <c r="M52" s="285"/>
      <c r="N52" s="285"/>
      <c r="O52" s="285"/>
      <c r="P52" s="285"/>
      <c r="Q52" s="285"/>
      <c r="R52" s="285"/>
      <c r="S52" s="285"/>
      <c r="T52" s="285"/>
      <c r="U52" s="285"/>
      <c r="V52" s="286"/>
    </row>
    <row r="53" spans="3:22" ht="14.25" thickBot="1" x14ac:dyDescent="0.3">
      <c r="C53" s="274"/>
      <c r="D53" s="123" t="s">
        <v>26</v>
      </c>
      <c r="E53" s="267"/>
      <c r="F53" s="251" t="s">
        <v>115</v>
      </c>
      <c r="G53" s="252"/>
      <c r="H53" s="252"/>
      <c r="I53" s="252"/>
      <c r="J53" s="253"/>
      <c r="K53" s="279"/>
      <c r="L53" s="284" t="s">
        <v>429</v>
      </c>
      <c r="M53" s="285"/>
      <c r="N53" s="285"/>
      <c r="O53" s="285"/>
      <c r="P53" s="285"/>
      <c r="Q53" s="285"/>
      <c r="R53" s="285"/>
      <c r="S53" s="285"/>
      <c r="T53" s="285"/>
      <c r="U53" s="285"/>
      <c r="V53" s="286"/>
    </row>
    <row r="54" spans="3:22" ht="13.5" customHeight="1" x14ac:dyDescent="0.25">
      <c r="C54" s="269" t="s">
        <v>116</v>
      </c>
      <c r="D54" s="125" t="s">
        <v>29</v>
      </c>
      <c r="E54" s="267"/>
      <c r="F54" s="251" t="s">
        <v>30</v>
      </c>
      <c r="G54" s="252"/>
      <c r="H54" s="252"/>
      <c r="I54" s="252"/>
      <c r="J54" s="253"/>
      <c r="K54" s="279"/>
      <c r="L54" s="281" t="s">
        <v>426</v>
      </c>
      <c r="M54" s="282"/>
      <c r="N54" s="282"/>
      <c r="O54" s="282"/>
      <c r="P54" s="282"/>
      <c r="Q54" s="282"/>
      <c r="R54" s="282"/>
      <c r="S54" s="282"/>
      <c r="T54" s="282"/>
      <c r="U54" s="282"/>
      <c r="V54" s="283"/>
    </row>
    <row r="55" spans="3:22" x14ac:dyDescent="0.25">
      <c r="C55" s="270"/>
      <c r="D55" s="126" t="s">
        <v>31</v>
      </c>
      <c r="E55" s="267"/>
      <c r="F55" s="251" t="s">
        <v>32</v>
      </c>
      <c r="G55" s="252"/>
      <c r="H55" s="252"/>
      <c r="I55" s="252"/>
      <c r="J55" s="253"/>
      <c r="K55" s="279"/>
      <c r="L55" s="281" t="s">
        <v>463</v>
      </c>
      <c r="M55" s="282"/>
      <c r="N55" s="282"/>
      <c r="O55" s="282"/>
      <c r="P55" s="282"/>
      <c r="Q55" s="282"/>
      <c r="R55" s="282"/>
      <c r="S55" s="282"/>
      <c r="T55" s="282"/>
      <c r="U55" s="282"/>
      <c r="V55" s="283"/>
    </row>
    <row r="56" spans="3:22" ht="14.25" customHeight="1" thickBot="1" x14ac:dyDescent="0.3">
      <c r="C56" s="271"/>
      <c r="D56" s="127" t="s">
        <v>33</v>
      </c>
      <c r="E56" s="267"/>
      <c r="F56" s="251" t="s">
        <v>34</v>
      </c>
      <c r="G56" s="252"/>
      <c r="H56" s="252"/>
      <c r="I56" s="252"/>
      <c r="J56" s="253"/>
      <c r="K56" s="280"/>
      <c r="L56" s="290" t="s">
        <v>462</v>
      </c>
      <c r="M56" s="291"/>
      <c r="N56" s="291"/>
      <c r="O56" s="291"/>
      <c r="P56" s="291"/>
      <c r="Q56" s="291"/>
      <c r="R56" s="291"/>
      <c r="S56" s="291"/>
      <c r="T56" s="291"/>
      <c r="U56" s="291"/>
      <c r="V56" s="292"/>
    </row>
    <row r="57" spans="3:22" x14ac:dyDescent="0.25">
      <c r="C57" s="120" t="s">
        <v>35</v>
      </c>
      <c r="D57" s="124" t="s">
        <v>36</v>
      </c>
      <c r="E57" s="267"/>
      <c r="F57" s="251" t="s">
        <v>37</v>
      </c>
      <c r="G57" s="252"/>
      <c r="H57" s="252"/>
      <c r="I57" s="252"/>
      <c r="J57" s="253"/>
      <c r="V57" s="35"/>
    </row>
    <row r="58" spans="3:22" x14ac:dyDescent="0.25">
      <c r="C58" s="264" t="s">
        <v>38</v>
      </c>
      <c r="D58" s="262" t="s">
        <v>39</v>
      </c>
      <c r="E58" s="267"/>
      <c r="F58" s="254" t="s">
        <v>40</v>
      </c>
      <c r="G58" s="255"/>
      <c r="H58" s="255"/>
      <c r="I58" s="255"/>
      <c r="J58" s="256"/>
      <c r="V58" s="35"/>
    </row>
    <row r="59" spans="3:22" x14ac:dyDescent="0.25">
      <c r="C59" s="264"/>
      <c r="D59" s="262"/>
      <c r="E59" s="267"/>
      <c r="F59" s="254" t="s">
        <v>41</v>
      </c>
      <c r="G59" s="255"/>
      <c r="H59" s="255"/>
      <c r="I59" s="255"/>
      <c r="J59" s="256"/>
      <c r="V59" s="35"/>
    </row>
    <row r="60" spans="3:22" ht="14.25" thickBot="1" x14ac:dyDescent="0.3">
      <c r="C60" s="265"/>
      <c r="D60" s="263"/>
      <c r="E60" s="268"/>
      <c r="F60" s="257" t="s">
        <v>42</v>
      </c>
      <c r="G60" s="258"/>
      <c r="H60" s="258"/>
      <c r="I60" s="258"/>
      <c r="J60" s="259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36"/>
    </row>
    <row r="61" spans="3:22" x14ac:dyDescent="0.25">
      <c r="C61" s="2"/>
    </row>
    <row r="62" spans="3:22" x14ac:dyDescent="0.25">
      <c r="C62" s="2"/>
    </row>
    <row r="63" spans="3:22" x14ac:dyDescent="0.25">
      <c r="C63" s="2"/>
    </row>
    <row r="64" spans="3:22" x14ac:dyDescent="0.25">
      <c r="C64" s="2"/>
    </row>
    <row r="65" spans="3:4" x14ac:dyDescent="0.25">
      <c r="C65" s="2"/>
    </row>
    <row r="66" spans="3:4" x14ac:dyDescent="0.25">
      <c r="C66" s="55"/>
      <c r="D66" s="29"/>
    </row>
    <row r="67" spans="3:4" x14ac:dyDescent="0.25">
      <c r="C67" s="55"/>
      <c r="D67" s="29"/>
    </row>
    <row r="69" spans="3:4" x14ac:dyDescent="0.25">
      <c r="C69" s="2"/>
    </row>
    <row r="70" spans="3:4" x14ac:dyDescent="0.25">
      <c r="C70" s="2"/>
    </row>
    <row r="71" spans="3:4" x14ac:dyDescent="0.25">
      <c r="C71" s="2"/>
    </row>
    <row r="72" spans="3:4" x14ac:dyDescent="0.25">
      <c r="C72" s="2"/>
    </row>
  </sheetData>
  <mergeCells count="37">
    <mergeCell ref="K51:K56"/>
    <mergeCell ref="L54:V54"/>
    <mergeCell ref="L53:V53"/>
    <mergeCell ref="L51:V51"/>
    <mergeCell ref="L52:V52"/>
    <mergeCell ref="L55:V55"/>
    <mergeCell ref="L56:V56"/>
    <mergeCell ref="F57:J57"/>
    <mergeCell ref="F58:J58"/>
    <mergeCell ref="F59:J59"/>
    <mergeCell ref="F60:J60"/>
    <mergeCell ref="C50:V50"/>
    <mergeCell ref="D58:D60"/>
    <mergeCell ref="C58:C60"/>
    <mergeCell ref="E51:E60"/>
    <mergeCell ref="C54:C56"/>
    <mergeCell ref="C51:C53"/>
    <mergeCell ref="F51:J51"/>
    <mergeCell ref="F52:J52"/>
    <mergeCell ref="F53:J53"/>
    <mergeCell ref="F54:J54"/>
    <mergeCell ref="F55:J55"/>
    <mergeCell ref="F56:J56"/>
    <mergeCell ref="V7:V8"/>
    <mergeCell ref="K7:T7"/>
    <mergeCell ref="E2:U2"/>
    <mergeCell ref="E3:U3"/>
    <mergeCell ref="E4:U4"/>
    <mergeCell ref="E5:U5"/>
    <mergeCell ref="H7:H8"/>
    <mergeCell ref="I7:I8"/>
    <mergeCell ref="J7:J8"/>
    <mergeCell ref="C7:C8"/>
    <mergeCell ref="D7:D8"/>
    <mergeCell ref="E7:E8"/>
    <mergeCell ref="F7:F8"/>
    <mergeCell ref="G7:G8"/>
  </mergeCells>
  <conditionalFormatting sqref="K51:L51 L52:L56 L57:T59 K57:K1048576 L60:U60 L61:T1048576 K1:T50">
    <cfRule type="containsText" dxfId="6" priority="5" operator="containsText" text="En evaluación">
      <formula>NOT(ISERROR(SEARCH("En evaluación",K1)))</formula>
    </cfRule>
    <cfRule type="containsText" dxfId="5" priority="6" operator="containsText" text="En elaboración">
      <formula>NOT(ISERROR(SEARCH("En elaboración",K1)))</formula>
    </cfRule>
    <cfRule type="containsText" dxfId="4" priority="7" operator="containsText" text="Actualización">
      <formula>NOT(ISERROR(SEARCH("Actualización",K1)))</formula>
    </cfRule>
    <cfRule type="containsText" dxfId="3" priority="8" operator="containsText" text="Iniciada">
      <formula>NOT(ISERROR(SEARCH("Iniciada",K1)))</formula>
    </cfRule>
    <cfRule type="containsText" dxfId="2" priority="9" operator="containsText" text="Liberado">
      <formula>NOT(ISERROR(SEARCH("Liberado",K1)))</formula>
    </cfRule>
    <cfRule type="containsText" dxfId="1" priority="10" operator="containsText" text="N/A">
      <formula>NOT(ISERROR(SEARCH("N/A",K1)))</formula>
    </cfRule>
  </conditionalFormatting>
  <conditionalFormatting sqref="K1:T1048576">
    <cfRule type="containsText" dxfId="0" priority="4" operator="containsText" text="concluida">
      <formula>NOT(ISERROR(SEARCH("concluida",K1)))</formula>
    </cfRule>
  </conditionalFormatting>
  <conditionalFormatting sqref="V9:V48">
    <cfRule type="containsText" dxfId="17" priority="3" operator="containsText" text="A">
      <formula>NOT(ISERROR(SEARCH("A",V9)))</formula>
    </cfRule>
    <cfRule type="containsText" dxfId="16" priority="2" operator="containsText" text="B">
      <formula>NOT(ISERROR(SEARCH("B",V9)))</formula>
    </cfRule>
    <cfRule type="containsText" dxfId="15" priority="1" operator="containsText" text="C">
      <formula>NOT(ISERROR(SEARCH("C",V9)))</formula>
    </cfRule>
  </conditionalFormatting>
  <printOptions horizontalCentered="1"/>
  <pageMargins left="0.19685039370078741" right="0.19685039370078741" top="0.39370078740157483" bottom="0.39370078740157483" header="0" footer="0"/>
  <pageSetup paperSize="5" scale="6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D696-1CA9-47C9-A516-5323E98E7393}">
  <sheetPr>
    <tabColor rgb="FF0070C0"/>
    <pageSetUpPr fitToPage="1"/>
  </sheetPr>
  <dimension ref="B1:AG96"/>
  <sheetViews>
    <sheetView zoomScale="70" zoomScaleNormal="70" zoomScaleSheetLayoutView="80" workbookViewId="0">
      <selection activeCell="I29" sqref="I29"/>
    </sheetView>
  </sheetViews>
  <sheetFormatPr baseColWidth="10" defaultColWidth="11.42578125" defaultRowHeight="13.5" x14ac:dyDescent="0.25"/>
  <cols>
    <col min="1" max="1" width="2.42578125" style="2" customWidth="1"/>
    <col min="2" max="2" width="5.7109375" style="2" customWidth="1"/>
    <col min="3" max="3" width="17.7109375" style="3" customWidth="1"/>
    <col min="4" max="4" width="22.28515625" style="2" customWidth="1"/>
    <col min="5" max="5" width="18.42578125" style="2" customWidth="1"/>
    <col min="6" max="6" width="14.85546875" style="2" customWidth="1"/>
    <col min="7" max="8" width="12.7109375" style="2" customWidth="1"/>
    <col min="9" max="10" width="15.7109375" style="2" customWidth="1"/>
    <col min="11" max="12" width="10.7109375" style="2" customWidth="1"/>
    <col min="13" max="13" width="13.28515625" style="2" customWidth="1"/>
    <col min="14" max="16" width="10.7109375" style="2" customWidth="1"/>
    <col min="17" max="28" width="11.42578125" style="2"/>
    <col min="29" max="29" width="2.7109375" style="2" customWidth="1"/>
    <col min="30" max="31" width="11.42578125" style="2"/>
    <col min="32" max="32" width="2.7109375" style="2" customWidth="1"/>
    <col min="33" max="33" width="11.42578125" style="2"/>
    <col min="34" max="34" width="2.7109375" style="2" customWidth="1"/>
    <col min="35" max="16384" width="11.42578125" style="2"/>
  </cols>
  <sheetData>
    <row r="1" spans="2:33" ht="14.25" thickBot="1" x14ac:dyDescent="0.3">
      <c r="N1" s="4"/>
    </row>
    <row r="2" spans="2:33" ht="18.75" x14ac:dyDescent="0.25">
      <c r="B2" s="14"/>
      <c r="C2" s="15"/>
      <c r="D2" s="16"/>
      <c r="E2" s="16"/>
      <c r="F2" s="17"/>
      <c r="G2" s="18"/>
      <c r="H2" s="18"/>
      <c r="I2" s="18"/>
      <c r="J2" s="18"/>
      <c r="K2" s="18"/>
      <c r="L2" s="18"/>
      <c r="M2" s="19"/>
      <c r="N2" s="19"/>
      <c r="O2" s="18"/>
      <c r="P2" s="19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20" t="s">
        <v>117</v>
      </c>
      <c r="AC2" s="5"/>
      <c r="AD2" s="337" t="s">
        <v>420</v>
      </c>
      <c r="AE2" s="338"/>
      <c r="AF2" s="5"/>
      <c r="AG2" s="343">
        <f ca="1">TODAY()</f>
        <v>46325</v>
      </c>
    </row>
    <row r="3" spans="2:33" ht="15" x14ac:dyDescent="0.25">
      <c r="B3" s="21"/>
      <c r="C3" s="9"/>
      <c r="D3" s="10"/>
      <c r="E3" s="10"/>
      <c r="F3" s="12"/>
      <c r="G3" s="12"/>
      <c r="H3" s="12"/>
      <c r="I3" s="12"/>
      <c r="J3" s="12"/>
      <c r="K3" s="5"/>
      <c r="L3" s="5"/>
      <c r="O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22" t="s">
        <v>118</v>
      </c>
      <c r="AC3" s="5"/>
      <c r="AD3" s="339"/>
      <c r="AE3" s="340"/>
      <c r="AF3" s="5"/>
      <c r="AG3" s="344"/>
    </row>
    <row r="4" spans="2:33" x14ac:dyDescent="0.25">
      <c r="B4" s="21"/>
      <c r="C4" s="11"/>
      <c r="D4" s="10"/>
      <c r="E4" s="10"/>
      <c r="F4" s="12"/>
      <c r="G4" s="12"/>
      <c r="H4" s="12"/>
      <c r="I4" s="12"/>
      <c r="J4" s="12"/>
      <c r="K4" s="5"/>
      <c r="L4" s="5"/>
      <c r="O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23" t="s">
        <v>119</v>
      </c>
      <c r="AC4" s="5"/>
      <c r="AD4" s="339"/>
      <c r="AE4" s="340"/>
      <c r="AF4" s="5"/>
      <c r="AG4" s="344"/>
    </row>
    <row r="5" spans="2:33" x14ac:dyDescent="0.25">
      <c r="B5" s="21"/>
      <c r="C5" s="11"/>
      <c r="D5" s="9"/>
      <c r="E5" s="9"/>
      <c r="F5" s="12"/>
      <c r="G5" s="333" t="s">
        <v>1</v>
      </c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4"/>
      <c r="AC5" s="5"/>
      <c r="AD5" s="339"/>
      <c r="AE5" s="340"/>
      <c r="AF5" s="13"/>
      <c r="AG5" s="344"/>
    </row>
    <row r="6" spans="2:33" ht="14.25" thickBot="1" x14ac:dyDescent="0.3">
      <c r="B6" s="24"/>
      <c r="C6" s="25"/>
      <c r="D6" s="26"/>
      <c r="E6" s="26"/>
      <c r="F6" s="26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6"/>
      <c r="AC6" s="5"/>
      <c r="AD6" s="341"/>
      <c r="AE6" s="342"/>
      <c r="AF6" s="13"/>
      <c r="AG6" s="345"/>
    </row>
    <row r="7" spans="2:33" ht="14.25" thickBot="1" x14ac:dyDescent="0.3"/>
    <row r="8" spans="2:33" x14ac:dyDescent="0.25">
      <c r="B8" s="313" t="s">
        <v>120</v>
      </c>
      <c r="C8" s="315" t="s">
        <v>2</v>
      </c>
      <c r="D8" s="315" t="s">
        <v>3</v>
      </c>
      <c r="E8" s="315" t="s">
        <v>4</v>
      </c>
      <c r="F8" s="315" t="s">
        <v>121</v>
      </c>
      <c r="G8" s="293" t="s">
        <v>122</v>
      </c>
      <c r="H8" s="307" t="s">
        <v>7</v>
      </c>
      <c r="I8" s="309" t="s">
        <v>123</v>
      </c>
      <c r="J8" s="311" t="s">
        <v>9</v>
      </c>
      <c r="K8" s="301" t="s">
        <v>124</v>
      </c>
      <c r="L8" s="302"/>
      <c r="M8" s="305" t="s">
        <v>125</v>
      </c>
      <c r="N8" s="295" t="s">
        <v>126</v>
      </c>
      <c r="O8" s="296"/>
      <c r="P8" s="296"/>
      <c r="Q8" s="297"/>
      <c r="R8" s="323" t="s">
        <v>127</v>
      </c>
      <c r="S8" s="324"/>
      <c r="T8" s="325"/>
      <c r="U8" s="295" t="s">
        <v>128</v>
      </c>
      <c r="V8" s="296"/>
      <c r="W8" s="296"/>
      <c r="X8" s="296"/>
      <c r="Y8" s="296"/>
      <c r="Z8" s="296"/>
      <c r="AA8" s="296"/>
      <c r="AB8" s="297"/>
      <c r="AD8" s="317" t="s">
        <v>129</v>
      </c>
      <c r="AE8" s="319" t="s">
        <v>130</v>
      </c>
      <c r="AG8" s="321" t="s">
        <v>131</v>
      </c>
    </row>
    <row r="9" spans="2:33" x14ac:dyDescent="0.25">
      <c r="B9" s="314"/>
      <c r="C9" s="316"/>
      <c r="D9" s="316"/>
      <c r="E9" s="316"/>
      <c r="F9" s="316"/>
      <c r="G9" s="294"/>
      <c r="H9" s="308"/>
      <c r="I9" s="310"/>
      <c r="J9" s="312"/>
      <c r="K9" s="303"/>
      <c r="L9" s="304"/>
      <c r="M9" s="306"/>
      <c r="N9" s="298" t="s">
        <v>132</v>
      </c>
      <c r="O9" s="299"/>
      <c r="P9" s="299" t="s">
        <v>48</v>
      </c>
      <c r="Q9" s="300"/>
      <c r="R9" s="327" t="s">
        <v>133</v>
      </c>
      <c r="S9" s="328"/>
      <c r="T9" s="326" t="s">
        <v>49</v>
      </c>
      <c r="U9" s="298" t="s">
        <v>51</v>
      </c>
      <c r="V9" s="299"/>
      <c r="W9" s="299" t="s">
        <v>50</v>
      </c>
      <c r="X9" s="299"/>
      <c r="Y9" s="299" t="s">
        <v>52</v>
      </c>
      <c r="Z9" s="299"/>
      <c r="AA9" s="299" t="s">
        <v>53</v>
      </c>
      <c r="AB9" s="300"/>
      <c r="AD9" s="318"/>
      <c r="AE9" s="320"/>
      <c r="AG9" s="322"/>
    </row>
    <row r="10" spans="2:33" ht="14.25" thickBot="1" x14ac:dyDescent="0.3">
      <c r="B10" s="314"/>
      <c r="C10" s="316"/>
      <c r="D10" s="316"/>
      <c r="E10" s="316"/>
      <c r="F10" s="316"/>
      <c r="G10" s="294"/>
      <c r="H10" s="308"/>
      <c r="I10" s="310"/>
      <c r="J10" s="312"/>
      <c r="K10" s="352" t="s">
        <v>12</v>
      </c>
      <c r="L10" s="353" t="s">
        <v>13</v>
      </c>
      <c r="M10" s="354"/>
      <c r="N10" s="352" t="s">
        <v>12</v>
      </c>
      <c r="O10" s="355" t="s">
        <v>13</v>
      </c>
      <c r="P10" s="356" t="s">
        <v>12</v>
      </c>
      <c r="Q10" s="353" t="s">
        <v>13</v>
      </c>
      <c r="R10" s="357" t="s">
        <v>12</v>
      </c>
      <c r="S10" s="358" t="s">
        <v>13</v>
      </c>
      <c r="T10" s="359"/>
      <c r="U10" s="352" t="s">
        <v>12</v>
      </c>
      <c r="V10" s="355" t="s">
        <v>13</v>
      </c>
      <c r="W10" s="356" t="s">
        <v>12</v>
      </c>
      <c r="X10" s="355" t="s">
        <v>13</v>
      </c>
      <c r="Y10" s="356" t="s">
        <v>12</v>
      </c>
      <c r="Z10" s="355" t="s">
        <v>13</v>
      </c>
      <c r="AA10" s="356" t="s">
        <v>12</v>
      </c>
      <c r="AB10" s="353" t="s">
        <v>13</v>
      </c>
      <c r="AD10" s="318"/>
      <c r="AE10" s="320"/>
      <c r="AG10" s="322"/>
    </row>
    <row r="11" spans="2:33" ht="27" x14ac:dyDescent="0.25">
      <c r="B11" s="374">
        <v>1</v>
      </c>
      <c r="C11" s="375" t="str">
        <f>CAPEX!F2</f>
        <v>Actis</v>
      </c>
      <c r="D11" s="376" t="str">
        <f>CAPEX!E2</f>
        <v>PV Moquel Solar</v>
      </c>
      <c r="E11" s="375" t="str">
        <f>CAPEX!AD2</f>
        <v>Champotón</v>
      </c>
      <c r="F11" s="376" t="str">
        <f>CAPEX!AC2</f>
        <v xml:space="preserve"> Campeche</v>
      </c>
      <c r="G11" s="386" t="str">
        <f>CAPEX!G2</f>
        <v>Fotovoltaica</v>
      </c>
      <c r="H11" s="392" t="str">
        <f>CAPEX!K2</f>
        <v>75 MW + 34.08% BESS</v>
      </c>
      <c r="I11" s="377">
        <f>CAPEX!M2</f>
        <v>46388</v>
      </c>
      <c r="J11" s="406">
        <f>CAPEX!N2</f>
        <v>46935</v>
      </c>
      <c r="K11" s="167">
        <f>CAPEX!AH2</f>
        <v>1</v>
      </c>
      <c r="L11" s="378">
        <f>CAPEX!AI2</f>
        <v>0.5</v>
      </c>
      <c r="M11" s="379">
        <f>CAPEX!AJ2</f>
        <v>1</v>
      </c>
      <c r="N11" s="167">
        <f>CAPEX!AK2</f>
        <v>0.8</v>
      </c>
      <c r="O11" s="378">
        <f>CAPEX!AL2</f>
        <v>0.5</v>
      </c>
      <c r="P11" s="378">
        <f>CAPEX!AM2</f>
        <v>0.5</v>
      </c>
      <c r="Q11" s="379">
        <f>CAPEX!AN2</f>
        <v>0.5</v>
      </c>
      <c r="R11" s="167">
        <f>CAPEX!AO2</f>
        <v>1</v>
      </c>
      <c r="S11" s="378">
        <f>CAPEX!AP2</f>
        <v>1</v>
      </c>
      <c r="T11" s="379">
        <f>CAPEX!AQ2</f>
        <v>0.3</v>
      </c>
      <c r="U11" s="389">
        <f>CAPEX!AR2</f>
        <v>0.7</v>
      </c>
      <c r="V11" s="378">
        <f>CAPEX!AS2</f>
        <v>0.5</v>
      </c>
      <c r="W11" s="378">
        <f>CAPEX!AT2</f>
        <v>1</v>
      </c>
      <c r="X11" s="378">
        <f>CAPEX!AU2</f>
        <v>1</v>
      </c>
      <c r="Y11" s="378">
        <f>CAPEX!AV2</f>
        <v>1</v>
      </c>
      <c r="Z11" s="378">
        <f>CAPEX!AW2</f>
        <v>1</v>
      </c>
      <c r="AA11" s="378">
        <f>CAPEX!AX2</f>
        <v>0.9</v>
      </c>
      <c r="AB11" s="379">
        <f>CAPEX!AY2</f>
        <v>0.9</v>
      </c>
      <c r="AC11" s="1"/>
      <c r="AD11" s="399">
        <f>CAPEX!AE2</f>
        <v>0.82000000000000028</v>
      </c>
      <c r="AE11" s="400">
        <f>CAPEX!AF2</f>
        <v>0.70000000000000018</v>
      </c>
      <c r="AF11" s="1"/>
      <c r="AG11" s="405">
        <f>CAPEX!AG2</f>
        <v>0.79600000000000026</v>
      </c>
    </row>
    <row r="12" spans="2:33" ht="27" x14ac:dyDescent="0.25">
      <c r="B12" s="380">
        <v>2</v>
      </c>
      <c r="C12" s="370" t="str">
        <f>CAPEX!F3</f>
        <v>Actis</v>
      </c>
      <c r="D12" s="371" t="str">
        <f>CAPEX!E3</f>
        <v>PV Sandom Solar</v>
      </c>
      <c r="E12" s="370" t="str">
        <f>CAPEX!AD3</f>
        <v>Hopelchén</v>
      </c>
      <c r="F12" s="371" t="str">
        <f>CAPEX!AC3</f>
        <v xml:space="preserve"> Campeche</v>
      </c>
      <c r="G12" s="387" t="str">
        <f>CAPEX!G3</f>
        <v>Fotovoltaica</v>
      </c>
      <c r="H12" s="168" t="str">
        <f>CAPEX!K3</f>
        <v>54 MW + 34.08% BESS</v>
      </c>
      <c r="I12" s="372">
        <f>CAPEX!M3</f>
        <v>46478</v>
      </c>
      <c r="J12" s="169">
        <f>CAPEX!N3</f>
        <v>47057</v>
      </c>
      <c r="K12" s="170">
        <f>CAPEX!AH3</f>
        <v>1</v>
      </c>
      <c r="L12" s="373">
        <f>CAPEX!AI3</f>
        <v>0</v>
      </c>
      <c r="M12" s="171">
        <f>CAPEX!AJ3</f>
        <v>1</v>
      </c>
      <c r="N12" s="170">
        <f>CAPEX!AK3</f>
        <v>0.5</v>
      </c>
      <c r="O12" s="373">
        <f>CAPEX!AL3</f>
        <v>0.5</v>
      </c>
      <c r="P12" s="373">
        <f>CAPEX!AM3</f>
        <v>1</v>
      </c>
      <c r="Q12" s="171">
        <f>CAPEX!AN3</f>
        <v>0</v>
      </c>
      <c r="R12" s="170">
        <f>CAPEX!AO3</f>
        <v>0.9</v>
      </c>
      <c r="S12" s="373">
        <f>CAPEX!AP3</f>
        <v>0.9</v>
      </c>
      <c r="T12" s="171">
        <f>CAPEX!AQ3</f>
        <v>0.3</v>
      </c>
      <c r="U12" s="390">
        <f>CAPEX!AR3</f>
        <v>0.9</v>
      </c>
      <c r="V12" s="373">
        <f>CAPEX!AS3</f>
        <v>0</v>
      </c>
      <c r="W12" s="373">
        <f>CAPEX!AT3</f>
        <v>1</v>
      </c>
      <c r="X12" s="373">
        <f>CAPEX!AU3</f>
        <v>1</v>
      </c>
      <c r="Y12" s="373">
        <f>CAPEX!AV3</f>
        <v>1</v>
      </c>
      <c r="Z12" s="373">
        <f>CAPEX!AW3</f>
        <v>1</v>
      </c>
      <c r="AA12" s="373">
        <f>CAPEX!AX3</f>
        <v>0.9</v>
      </c>
      <c r="AB12" s="171">
        <f>CAPEX!AY3</f>
        <v>0.9</v>
      </c>
      <c r="AC12" s="1"/>
      <c r="AD12" s="401">
        <f>CAPEX!AE3</f>
        <v>0.80000000000000027</v>
      </c>
      <c r="AE12" s="402">
        <f>CAPEX!AF3</f>
        <v>0.55500000000000005</v>
      </c>
      <c r="AF12" s="1"/>
      <c r="AG12" s="115">
        <f>CAPEX!AG3</f>
        <v>0.75100000000000022</v>
      </c>
    </row>
    <row r="13" spans="2:33" ht="27" x14ac:dyDescent="0.25">
      <c r="B13" s="380">
        <v>3</v>
      </c>
      <c r="C13" s="370" t="str">
        <f>CAPEX!F4</f>
        <v>Actis</v>
      </c>
      <c r="D13" s="371" t="str">
        <f>CAPEX!E4</f>
        <v>Viento de Bella Unión</v>
      </c>
      <c r="E13" s="370" t="str">
        <f>CAPEX!AD4</f>
        <v>Arteaga</v>
      </c>
      <c r="F13" s="371" t="str">
        <f>CAPEX!AC4</f>
        <v xml:space="preserve"> Coahuila</v>
      </c>
      <c r="G13" s="387" t="str">
        <f>CAPEX!G4</f>
        <v>Fotovoltaica</v>
      </c>
      <c r="H13" s="168" t="str">
        <f>CAPEX!K4</f>
        <v>120 MW + 34.08% BESS</v>
      </c>
      <c r="I13" s="372">
        <f>CAPEX!M4</f>
        <v>46507</v>
      </c>
      <c r="J13" s="169">
        <f>CAPEX!N4</f>
        <v>47057</v>
      </c>
      <c r="K13" s="170">
        <f>CAPEX!AH4</f>
        <v>0.5</v>
      </c>
      <c r="L13" s="373">
        <f>CAPEX!AI4</f>
        <v>0.95</v>
      </c>
      <c r="M13" s="171">
        <f>CAPEX!AJ4</f>
        <v>1</v>
      </c>
      <c r="N13" s="170">
        <f>CAPEX!AK4</f>
        <v>0.5</v>
      </c>
      <c r="O13" s="373">
        <f>CAPEX!AL4</f>
        <v>0.5</v>
      </c>
      <c r="P13" s="373">
        <f>CAPEX!AM4</f>
        <v>1</v>
      </c>
      <c r="Q13" s="171">
        <f>CAPEX!AN4</f>
        <v>1</v>
      </c>
      <c r="R13" s="170">
        <f>CAPEX!AO4</f>
        <v>0.5</v>
      </c>
      <c r="S13" s="373">
        <f>CAPEX!AP4</f>
        <v>0.5</v>
      </c>
      <c r="T13" s="171">
        <f>CAPEX!AQ4</f>
        <v>1</v>
      </c>
      <c r="U13" s="390">
        <f>CAPEX!AR4</f>
        <v>0.5</v>
      </c>
      <c r="V13" s="373">
        <f>CAPEX!AS4</f>
        <v>0.5</v>
      </c>
      <c r="W13" s="373">
        <f>CAPEX!AT4</f>
        <v>0.5</v>
      </c>
      <c r="X13" s="373">
        <f>CAPEX!AU4</f>
        <v>0.5</v>
      </c>
      <c r="Y13" s="373">
        <f>CAPEX!AV4</f>
        <v>0</v>
      </c>
      <c r="Z13" s="373">
        <f>CAPEX!AW4</f>
        <v>0</v>
      </c>
      <c r="AA13" s="373">
        <f>CAPEX!AX4</f>
        <v>0</v>
      </c>
      <c r="AB13" s="171">
        <f>CAPEX!AY4</f>
        <v>0</v>
      </c>
      <c r="AC13" s="1"/>
      <c r="AD13" s="401">
        <f>CAPEX!AE4</f>
        <v>0.6</v>
      </c>
      <c r="AE13" s="402">
        <f>CAPEX!AF4</f>
        <v>0.64500000000000002</v>
      </c>
      <c r="AF13" s="1"/>
      <c r="AG13" s="115">
        <f>CAPEX!AG4</f>
        <v>0.60899999999999999</v>
      </c>
    </row>
    <row r="14" spans="2:33" ht="27" x14ac:dyDescent="0.25">
      <c r="B14" s="380">
        <v>4</v>
      </c>
      <c r="C14" s="370" t="str">
        <f>CAPEX!F5</f>
        <v>Alten</v>
      </c>
      <c r="D14" s="371" t="str">
        <f>CAPEX!E5</f>
        <v>Global Solar 3 Campeche</v>
      </c>
      <c r="E14" s="370" t="str">
        <f>CAPEX!AD5</f>
        <v>El Carmen</v>
      </c>
      <c r="F14" s="371" t="str">
        <f>CAPEX!AC5</f>
        <v xml:space="preserve"> Campeche</v>
      </c>
      <c r="G14" s="387" t="str">
        <f>CAPEX!G5</f>
        <v>Fotovoltaica</v>
      </c>
      <c r="H14" s="168" t="str">
        <f>CAPEX!K5</f>
        <v>125 MW + 30.00% BESS</v>
      </c>
      <c r="I14" s="372">
        <f>CAPEX!M5</f>
        <v>46388</v>
      </c>
      <c r="J14" s="169">
        <f>CAPEX!N5</f>
        <v>46935</v>
      </c>
      <c r="K14" s="170">
        <f>CAPEX!AH5</f>
        <v>1</v>
      </c>
      <c r="L14" s="373">
        <f>CAPEX!AI5</f>
        <v>0</v>
      </c>
      <c r="M14" s="171">
        <f>CAPEX!AJ5</f>
        <v>1</v>
      </c>
      <c r="N14" s="170">
        <f>CAPEX!AK5</f>
        <v>0.9</v>
      </c>
      <c r="O14" s="373">
        <f>CAPEX!AL5</f>
        <v>0.9</v>
      </c>
      <c r="P14" s="373">
        <f>CAPEX!AM5</f>
        <v>0.8</v>
      </c>
      <c r="Q14" s="171">
        <f>CAPEX!AN5</f>
        <v>1</v>
      </c>
      <c r="R14" s="170">
        <f>CAPEX!AO5</f>
        <v>1</v>
      </c>
      <c r="S14" s="373">
        <f>CAPEX!AP5</f>
        <v>1</v>
      </c>
      <c r="T14" s="171">
        <f>CAPEX!AQ5</f>
        <v>0.3</v>
      </c>
      <c r="U14" s="390">
        <f>CAPEX!AR5</f>
        <v>0.9</v>
      </c>
      <c r="V14" s="373">
        <f>CAPEX!AS5</f>
        <v>1</v>
      </c>
      <c r="W14" s="373">
        <f>CAPEX!AT5</f>
        <v>1</v>
      </c>
      <c r="X14" s="373">
        <f>CAPEX!AU5</f>
        <v>1</v>
      </c>
      <c r="Y14" s="373">
        <f>CAPEX!AV5</f>
        <v>1</v>
      </c>
      <c r="Z14" s="373">
        <f>CAPEX!AW5</f>
        <v>1</v>
      </c>
      <c r="AA14" s="373">
        <f>CAPEX!AX5</f>
        <v>0.8</v>
      </c>
      <c r="AB14" s="171">
        <f>CAPEX!AY5</f>
        <v>0.8</v>
      </c>
      <c r="AC14" s="1"/>
      <c r="AD14" s="401">
        <f>CAPEX!AE5</f>
        <v>0.87500000000000022</v>
      </c>
      <c r="AE14" s="402">
        <f>CAPEX!AF5</f>
        <v>0.80000000000000027</v>
      </c>
      <c r="AF14" s="1"/>
      <c r="AG14" s="115">
        <f>CAPEX!AG5</f>
        <v>0.86000000000000021</v>
      </c>
    </row>
    <row r="15" spans="2:33" ht="27" x14ac:dyDescent="0.25">
      <c r="B15" s="380">
        <v>5</v>
      </c>
      <c r="C15" s="370" t="str">
        <f>CAPEX!F6</f>
        <v>Atlántica</v>
      </c>
      <c r="D15" s="371" t="str">
        <f>CAPEX!E6</f>
        <v>Dalia 3 (Castamay)</v>
      </c>
      <c r="E15" s="370" t="str">
        <f>CAPEX!AD6</f>
        <v>Castamay</v>
      </c>
      <c r="F15" s="371" t="str">
        <f>CAPEX!AC6</f>
        <v xml:space="preserve"> Campeche</v>
      </c>
      <c r="G15" s="387" t="str">
        <f>CAPEX!G6</f>
        <v>Fotovoltaica</v>
      </c>
      <c r="H15" s="168" t="str">
        <f>CAPEX!K6</f>
        <v>100 MW + 30% BESS</v>
      </c>
      <c r="I15" s="372">
        <f>CAPEX!M6</f>
        <v>46447</v>
      </c>
      <c r="J15" s="169">
        <f>CAPEX!N6</f>
        <v>47118</v>
      </c>
      <c r="K15" s="170">
        <f>CAPEX!AH6</f>
        <v>0.9</v>
      </c>
      <c r="L15" s="373">
        <f>CAPEX!AI6</f>
        <v>0.5</v>
      </c>
      <c r="M15" s="171">
        <f>CAPEX!AJ6</f>
        <v>1</v>
      </c>
      <c r="N15" s="170">
        <f>CAPEX!AK6</f>
        <v>0.8</v>
      </c>
      <c r="O15" s="373">
        <f>CAPEX!AL6</f>
        <v>0.6</v>
      </c>
      <c r="P15" s="373">
        <f>CAPEX!AM6</f>
        <v>0.5</v>
      </c>
      <c r="Q15" s="171">
        <f>CAPEX!AN6</f>
        <v>0</v>
      </c>
      <c r="R15" s="170">
        <f>CAPEX!AO6</f>
        <v>0.8</v>
      </c>
      <c r="S15" s="373">
        <f>CAPEX!AP6</f>
        <v>0.8</v>
      </c>
      <c r="T15" s="171">
        <f>CAPEX!AQ6</f>
        <v>0.3</v>
      </c>
      <c r="U15" s="390">
        <f>CAPEX!AR6</f>
        <v>1</v>
      </c>
      <c r="V15" s="373">
        <f>CAPEX!AS6</f>
        <v>0.5</v>
      </c>
      <c r="W15" s="373">
        <f>CAPEX!AT6</f>
        <v>1</v>
      </c>
      <c r="X15" s="373">
        <f>CAPEX!AU6</f>
        <v>0</v>
      </c>
      <c r="Y15" s="373">
        <f>CAPEX!AV6</f>
        <v>1</v>
      </c>
      <c r="Z15" s="373">
        <f>CAPEX!AW6</f>
        <v>0</v>
      </c>
      <c r="AA15" s="373">
        <f>CAPEX!AX6</f>
        <v>1</v>
      </c>
      <c r="AB15" s="171">
        <f>CAPEX!AY6</f>
        <v>1</v>
      </c>
      <c r="AC15" s="1"/>
      <c r="AD15" s="401">
        <f>CAPEX!AE6</f>
        <v>0.79000000000000026</v>
      </c>
      <c r="AE15" s="402">
        <f>CAPEX!AF6</f>
        <v>0.53500000000000014</v>
      </c>
      <c r="AF15" s="1"/>
      <c r="AG15" s="115">
        <f>CAPEX!AG6</f>
        <v>0.73900000000000032</v>
      </c>
    </row>
    <row r="16" spans="2:33" ht="27" x14ac:dyDescent="0.25">
      <c r="B16" s="380">
        <v>6</v>
      </c>
      <c r="C16" s="370" t="str">
        <f>CAPEX!F7</f>
        <v>Atlántica</v>
      </c>
      <c r="D16" s="371" t="str">
        <f>CAPEX!E7</f>
        <v>Fresnillo (PV Atocha)</v>
      </c>
      <c r="E16" s="370" t="str">
        <f>CAPEX!AD7</f>
        <v>Fresnillo</v>
      </c>
      <c r="F16" s="371" t="str">
        <f>CAPEX!AC7</f>
        <v xml:space="preserve"> Zacatecas</v>
      </c>
      <c r="G16" s="387" t="str">
        <f>CAPEX!G7</f>
        <v>Fotovoltaica</v>
      </c>
      <c r="H16" s="168" t="str">
        <f>CAPEX!K7</f>
        <v>100 MW + 30% BESS</v>
      </c>
      <c r="I16" s="372">
        <f>CAPEX!M7</f>
        <v>46447</v>
      </c>
      <c r="J16" s="169">
        <f>CAPEX!N7</f>
        <v>47118</v>
      </c>
      <c r="K16" s="170">
        <f>CAPEX!AH7</f>
        <v>0.7</v>
      </c>
      <c r="L16" s="373">
        <f>CAPEX!AI7</f>
        <v>0.7</v>
      </c>
      <c r="M16" s="171">
        <f>CAPEX!AJ7</f>
        <v>1</v>
      </c>
      <c r="N16" s="170">
        <f>CAPEX!AK7</f>
        <v>0.7</v>
      </c>
      <c r="O16" s="373">
        <f>CAPEX!AL7</f>
        <v>0</v>
      </c>
      <c r="P16" s="373">
        <f>CAPEX!AM7</f>
        <v>0</v>
      </c>
      <c r="Q16" s="171">
        <f>CAPEX!AN7</f>
        <v>0</v>
      </c>
      <c r="R16" s="170">
        <f>CAPEX!AO7</f>
        <v>0.7</v>
      </c>
      <c r="S16" s="373">
        <f>CAPEX!AP7</f>
        <v>0.7</v>
      </c>
      <c r="T16" s="171">
        <f>CAPEX!AQ7</f>
        <v>1</v>
      </c>
      <c r="U16" s="390">
        <f>CAPEX!AR7</f>
        <v>0.5</v>
      </c>
      <c r="V16" s="373">
        <f>CAPEX!AS7</f>
        <v>0</v>
      </c>
      <c r="W16" s="373">
        <f>CAPEX!AT7</f>
        <v>0</v>
      </c>
      <c r="X16" s="373">
        <f>CAPEX!AU7</f>
        <v>0</v>
      </c>
      <c r="Y16" s="373">
        <f>CAPEX!AV7</f>
        <v>1</v>
      </c>
      <c r="Z16" s="373">
        <f>CAPEX!AW7</f>
        <v>0</v>
      </c>
      <c r="AA16" s="373">
        <f>CAPEX!AX7</f>
        <v>0</v>
      </c>
      <c r="AB16" s="171">
        <f>CAPEX!AY7</f>
        <v>0</v>
      </c>
      <c r="AC16" s="1"/>
      <c r="AD16" s="401">
        <f>CAPEX!AE7</f>
        <v>0.625</v>
      </c>
      <c r="AE16" s="402">
        <f>CAPEX!AF7</f>
        <v>0.40999999999999992</v>
      </c>
      <c r="AF16" s="1"/>
      <c r="AG16" s="115">
        <f>CAPEX!AG7</f>
        <v>0.58199999999999996</v>
      </c>
    </row>
    <row r="17" spans="2:33" ht="27" x14ac:dyDescent="0.25">
      <c r="B17" s="380">
        <v>7</v>
      </c>
      <c r="C17" s="370" t="str">
        <f>CAPEX!F8</f>
        <v>Atlas Renewable Energy</v>
      </c>
      <c r="D17" s="371" t="str">
        <f>CAPEX!E8</f>
        <v>Concepción Mendizábal M. - Fase I</v>
      </c>
      <c r="E17" s="370" t="str">
        <f>CAPEX!AD8</f>
        <v>Nava</v>
      </c>
      <c r="F17" s="371" t="str">
        <f>CAPEX!AC8</f>
        <v xml:space="preserve"> Coahuila</v>
      </c>
      <c r="G17" s="387" t="str">
        <f>CAPEX!G8</f>
        <v>Fotovoltaica</v>
      </c>
      <c r="H17" s="168" t="str">
        <f>CAPEX!K8</f>
        <v>339 MW + 30.00% BESS</v>
      </c>
      <c r="I17" s="372">
        <f>CAPEX!M8</f>
        <v>46478</v>
      </c>
      <c r="J17" s="169">
        <f>CAPEX!N8</f>
        <v>47209</v>
      </c>
      <c r="K17" s="170">
        <f>CAPEX!AH8</f>
        <v>1</v>
      </c>
      <c r="L17" s="373">
        <f>CAPEX!AI8</f>
        <v>1</v>
      </c>
      <c r="M17" s="171">
        <f>CAPEX!AJ8</f>
        <v>0.8</v>
      </c>
      <c r="N17" s="170">
        <f>CAPEX!AK8</f>
        <v>0.9</v>
      </c>
      <c r="O17" s="373">
        <f>CAPEX!AL8</f>
        <v>0.9</v>
      </c>
      <c r="P17" s="373">
        <f>CAPEX!AM8</f>
        <v>1</v>
      </c>
      <c r="Q17" s="171">
        <f>CAPEX!AN8</f>
        <v>1</v>
      </c>
      <c r="R17" s="170">
        <f>CAPEX!AO8</f>
        <v>1</v>
      </c>
      <c r="S17" s="373">
        <f>CAPEX!AP8</f>
        <v>1</v>
      </c>
      <c r="T17" s="171">
        <f>CAPEX!AQ8</f>
        <v>1</v>
      </c>
      <c r="U17" s="390">
        <f>CAPEX!AR8</f>
        <v>1</v>
      </c>
      <c r="V17" s="373">
        <f>CAPEX!AS8</f>
        <v>1</v>
      </c>
      <c r="W17" s="373">
        <f>CAPEX!AT8</f>
        <v>0.05</v>
      </c>
      <c r="X17" s="373">
        <f>CAPEX!AU8</f>
        <v>0.05</v>
      </c>
      <c r="Y17" s="373">
        <f>CAPEX!AV8</f>
        <v>0.5</v>
      </c>
      <c r="Z17" s="373">
        <f>CAPEX!AW8</f>
        <v>0.5</v>
      </c>
      <c r="AA17" s="373">
        <f>CAPEX!AX8</f>
        <v>0</v>
      </c>
      <c r="AB17" s="171">
        <f>CAPEX!AY8</f>
        <v>0</v>
      </c>
      <c r="AC17" s="1"/>
      <c r="AD17" s="401">
        <f>CAPEX!AE8</f>
        <v>0.83750000000000013</v>
      </c>
      <c r="AE17" s="402">
        <f>CAPEX!AF8</f>
        <v>0.83750000000000013</v>
      </c>
      <c r="AF17" s="1"/>
      <c r="AG17" s="115">
        <f>CAPEX!AG8</f>
        <v>0.83750000000000013</v>
      </c>
    </row>
    <row r="18" spans="2:33" ht="27" x14ac:dyDescent="0.25">
      <c r="B18" s="380">
        <v>8</v>
      </c>
      <c r="C18" s="370" t="str">
        <f>CAPEX!F9</f>
        <v>Atlas Renewable Energy</v>
      </c>
      <c r="D18" s="371" t="str">
        <f>CAPEX!E9</f>
        <v>Concepción Mendizábal M. - Fase II</v>
      </c>
      <c r="E18" s="370" t="str">
        <f>CAPEX!AD9</f>
        <v>Nava</v>
      </c>
      <c r="F18" s="371" t="str">
        <f>CAPEX!AC9</f>
        <v xml:space="preserve"> Coahuila</v>
      </c>
      <c r="G18" s="387" t="str">
        <f>CAPEX!G9</f>
        <v>Fotovoltaica</v>
      </c>
      <c r="H18" s="168" t="str">
        <f>CAPEX!K9</f>
        <v>180 MW + 30.00% BESS</v>
      </c>
      <c r="I18" s="372">
        <f>CAPEX!M9</f>
        <v>46478</v>
      </c>
      <c r="J18" s="169">
        <f>CAPEX!N9</f>
        <v>47209</v>
      </c>
      <c r="K18" s="170">
        <f>CAPEX!AH9</f>
        <v>1</v>
      </c>
      <c r="L18" s="373">
        <f>CAPEX!AI9</f>
        <v>1</v>
      </c>
      <c r="M18" s="171">
        <f>CAPEX!AJ9</f>
        <v>0.8</v>
      </c>
      <c r="N18" s="170">
        <f>CAPEX!AK9</f>
        <v>0.9</v>
      </c>
      <c r="O18" s="373">
        <f>CAPEX!AL9</f>
        <v>0.9</v>
      </c>
      <c r="P18" s="373">
        <f>CAPEX!AM9</f>
        <v>1</v>
      </c>
      <c r="Q18" s="171">
        <f>CAPEX!AN9</f>
        <v>1</v>
      </c>
      <c r="R18" s="170">
        <f>CAPEX!AO9</f>
        <v>1</v>
      </c>
      <c r="S18" s="373">
        <f>CAPEX!AP9</f>
        <v>1</v>
      </c>
      <c r="T18" s="171">
        <f>CAPEX!AQ9</f>
        <v>1</v>
      </c>
      <c r="U18" s="390">
        <f>CAPEX!AR9</f>
        <v>1</v>
      </c>
      <c r="V18" s="373">
        <f>CAPEX!AS9</f>
        <v>1</v>
      </c>
      <c r="W18" s="373">
        <f>CAPEX!AT9</f>
        <v>0.05</v>
      </c>
      <c r="X18" s="373">
        <f>CAPEX!AU9</f>
        <v>0.05</v>
      </c>
      <c r="Y18" s="373">
        <f>CAPEX!AV9</f>
        <v>0.5</v>
      </c>
      <c r="Z18" s="373">
        <f>CAPEX!AW9</f>
        <v>0.5</v>
      </c>
      <c r="AA18" s="373">
        <f>CAPEX!AX9</f>
        <v>0</v>
      </c>
      <c r="AB18" s="171">
        <f>CAPEX!AY9</f>
        <v>0</v>
      </c>
      <c r="AC18" s="1"/>
      <c r="AD18" s="401">
        <f>CAPEX!AE9</f>
        <v>0.83750000000000013</v>
      </c>
      <c r="AE18" s="402">
        <f>CAPEX!AF9</f>
        <v>0.83750000000000013</v>
      </c>
      <c r="AF18" s="1"/>
      <c r="AG18" s="115">
        <f>CAPEX!AG9</f>
        <v>0.83750000000000013</v>
      </c>
    </row>
    <row r="19" spans="2:33" ht="27" x14ac:dyDescent="0.25">
      <c r="B19" s="380">
        <v>9</v>
      </c>
      <c r="C19" s="370" t="str">
        <f>CAPEX!F10</f>
        <v>Atlas Renewable Energy</v>
      </c>
      <c r="D19" s="371" t="str">
        <f>CAPEX!E10</f>
        <v>Concepción Mendizábal M. - Fase III</v>
      </c>
      <c r="E19" s="370" t="str">
        <f>CAPEX!AD10</f>
        <v>Nava</v>
      </c>
      <c r="F19" s="371" t="str">
        <f>CAPEX!AC10</f>
        <v xml:space="preserve"> Coahuila</v>
      </c>
      <c r="G19" s="387" t="str">
        <f>CAPEX!G10</f>
        <v>Fotovoltaica</v>
      </c>
      <c r="H19" s="168" t="str">
        <f>CAPEX!K10</f>
        <v>339 MW + 30.00% BESS</v>
      </c>
      <c r="I19" s="372">
        <f>CAPEX!M10</f>
        <v>46478</v>
      </c>
      <c r="J19" s="169">
        <f>CAPEX!N10</f>
        <v>47209</v>
      </c>
      <c r="K19" s="170">
        <f>CAPEX!AH10</f>
        <v>1</v>
      </c>
      <c r="L19" s="373">
        <f>CAPEX!AI10</f>
        <v>1</v>
      </c>
      <c r="M19" s="171">
        <f>CAPEX!AJ10</f>
        <v>0.8</v>
      </c>
      <c r="N19" s="170">
        <f>CAPEX!AK10</f>
        <v>0.9</v>
      </c>
      <c r="O19" s="373">
        <f>CAPEX!AL10</f>
        <v>0.9</v>
      </c>
      <c r="P19" s="373">
        <f>CAPEX!AM10</f>
        <v>0.9</v>
      </c>
      <c r="Q19" s="171">
        <f>CAPEX!AN10</f>
        <v>0.9</v>
      </c>
      <c r="R19" s="170">
        <f>CAPEX!AO10</f>
        <v>1</v>
      </c>
      <c r="S19" s="373">
        <f>CAPEX!AP10</f>
        <v>1</v>
      </c>
      <c r="T19" s="171">
        <f>CAPEX!AQ10</f>
        <v>1</v>
      </c>
      <c r="U19" s="390">
        <f>CAPEX!AR10</f>
        <v>1</v>
      </c>
      <c r="V19" s="373">
        <f>CAPEX!AS10</f>
        <v>1</v>
      </c>
      <c r="W19" s="373">
        <f>CAPEX!AT10</f>
        <v>0.05</v>
      </c>
      <c r="X19" s="373">
        <f>CAPEX!AU10</f>
        <v>0.05</v>
      </c>
      <c r="Y19" s="373">
        <f>CAPEX!AV10</f>
        <v>0.5</v>
      </c>
      <c r="Z19" s="373">
        <f>CAPEX!AW10</f>
        <v>0.5</v>
      </c>
      <c r="AA19" s="373">
        <f>CAPEX!AX10</f>
        <v>0</v>
      </c>
      <c r="AB19" s="171">
        <f>CAPEX!AY10</f>
        <v>0</v>
      </c>
      <c r="AC19" s="1"/>
      <c r="AD19" s="401">
        <f>CAPEX!AE10</f>
        <v>0.82750000000000012</v>
      </c>
      <c r="AE19" s="402">
        <f>CAPEX!AF10</f>
        <v>0.82750000000000012</v>
      </c>
      <c r="AF19" s="1"/>
      <c r="AG19" s="115">
        <f>CAPEX!AG10</f>
        <v>0.82750000000000012</v>
      </c>
    </row>
    <row r="20" spans="2:33" ht="27" x14ac:dyDescent="0.25">
      <c r="B20" s="380">
        <v>10</v>
      </c>
      <c r="C20" s="370" t="str">
        <f>CAPEX!F11</f>
        <v>CSQB Energy</v>
      </c>
      <c r="D20" s="371" t="str">
        <f>CAPEX!E11</f>
        <v>Cimarrón Solar (**)</v>
      </c>
      <c r="E20" s="370" t="str">
        <f>CAPEX!AD11</f>
        <v>Hermosillo</v>
      </c>
      <c r="F20" s="371" t="str">
        <f>CAPEX!AC11</f>
        <v xml:space="preserve"> Sonora</v>
      </c>
      <c r="G20" s="387" t="str">
        <f>CAPEX!G11</f>
        <v>Fotovoltaica</v>
      </c>
      <c r="H20" s="168" t="str">
        <f>CAPEX!K11</f>
        <v>300 MW + 30% BESS</v>
      </c>
      <c r="I20" s="372">
        <f>CAPEX!M11</f>
        <v>46507</v>
      </c>
      <c r="J20" s="169">
        <f>CAPEX!N11</f>
        <v>47238</v>
      </c>
      <c r="K20" s="170">
        <f>CAPEX!AH11</f>
        <v>0.5</v>
      </c>
      <c r="L20" s="373">
        <f>CAPEX!AI11</f>
        <v>1</v>
      </c>
      <c r="M20" s="171">
        <f>CAPEX!AJ11</f>
        <v>0</v>
      </c>
      <c r="N20" s="170">
        <f>CAPEX!AK11</f>
        <v>0</v>
      </c>
      <c r="O20" s="373">
        <f>CAPEX!AL11</f>
        <v>0</v>
      </c>
      <c r="P20" s="373">
        <f>CAPEX!AM11</f>
        <v>0</v>
      </c>
      <c r="Q20" s="171">
        <f>CAPEX!AN11</f>
        <v>0</v>
      </c>
      <c r="R20" s="170">
        <f>CAPEX!AO11</f>
        <v>0.5</v>
      </c>
      <c r="S20" s="373">
        <f>CAPEX!AP11</f>
        <v>0.5</v>
      </c>
      <c r="T20" s="171">
        <f>CAPEX!AQ11</f>
        <v>1</v>
      </c>
      <c r="U20" s="390">
        <f>CAPEX!AR11</f>
        <v>1</v>
      </c>
      <c r="V20" s="373">
        <f>CAPEX!AS11</f>
        <v>1</v>
      </c>
      <c r="W20" s="373">
        <f>CAPEX!AT11</f>
        <v>0.5</v>
      </c>
      <c r="X20" s="373">
        <f>CAPEX!AU11</f>
        <v>0.5</v>
      </c>
      <c r="Y20" s="373">
        <f>CAPEX!AV11</f>
        <v>0.5</v>
      </c>
      <c r="Z20" s="373">
        <f>CAPEX!AW11</f>
        <v>0.5</v>
      </c>
      <c r="AA20" s="373">
        <f>CAPEX!AX11</f>
        <v>0</v>
      </c>
      <c r="AB20" s="171">
        <f>CAPEX!AY11</f>
        <v>0</v>
      </c>
      <c r="AC20" s="1"/>
      <c r="AD20" s="401">
        <f>CAPEX!AE11</f>
        <v>0.35000000000000003</v>
      </c>
      <c r="AE20" s="402">
        <f>CAPEX!AF11</f>
        <v>0.40000000000000008</v>
      </c>
      <c r="AF20" s="1"/>
      <c r="AG20" s="115">
        <f>CAPEX!AG11</f>
        <v>0.36000000000000004</v>
      </c>
    </row>
    <row r="21" spans="2:33" ht="27" x14ac:dyDescent="0.25">
      <c r="B21" s="380">
        <v>11</v>
      </c>
      <c r="C21" s="370" t="str">
        <f>CAPEX!F12</f>
        <v>CSQB Energy</v>
      </c>
      <c r="D21" s="371" t="str">
        <f>CAPEX!E12</f>
        <v>La Poza Solar (**)</v>
      </c>
      <c r="E21" s="370" t="str">
        <f>CAPEX!AD12</f>
        <v>Hermosillo</v>
      </c>
      <c r="F21" s="371" t="str">
        <f>CAPEX!AC12</f>
        <v xml:space="preserve"> Sonora</v>
      </c>
      <c r="G21" s="387" t="str">
        <f>CAPEX!G12</f>
        <v>Fotovoltaica</v>
      </c>
      <c r="H21" s="168" t="str">
        <f>CAPEX!K12</f>
        <v>300 MW + 30% BESS</v>
      </c>
      <c r="I21" s="372">
        <f>CAPEX!M12</f>
        <v>46507</v>
      </c>
      <c r="J21" s="169">
        <f>CAPEX!N12</f>
        <v>47238</v>
      </c>
      <c r="K21" s="170">
        <f>CAPEX!AH12</f>
        <v>0.5</v>
      </c>
      <c r="L21" s="373">
        <f>CAPEX!AI12</f>
        <v>0.5</v>
      </c>
      <c r="M21" s="171">
        <f>CAPEX!AJ12</f>
        <v>0</v>
      </c>
      <c r="N21" s="170">
        <f>CAPEX!AK12</f>
        <v>0</v>
      </c>
      <c r="O21" s="373">
        <f>CAPEX!AL12</f>
        <v>0</v>
      </c>
      <c r="P21" s="373">
        <f>CAPEX!AM12</f>
        <v>0</v>
      </c>
      <c r="Q21" s="171">
        <f>CAPEX!AN12</f>
        <v>0</v>
      </c>
      <c r="R21" s="170">
        <f>CAPEX!AO12</f>
        <v>0.5</v>
      </c>
      <c r="S21" s="373">
        <f>CAPEX!AP12</f>
        <v>0.5</v>
      </c>
      <c r="T21" s="171">
        <f>CAPEX!AQ12</f>
        <v>1</v>
      </c>
      <c r="U21" s="390">
        <f>CAPEX!AR12</f>
        <v>1</v>
      </c>
      <c r="V21" s="373">
        <f>CAPEX!AS12</f>
        <v>1</v>
      </c>
      <c r="W21" s="373">
        <f>CAPEX!AT12</f>
        <v>0.5</v>
      </c>
      <c r="X21" s="373">
        <f>CAPEX!AU12</f>
        <v>0.5</v>
      </c>
      <c r="Y21" s="373">
        <f>CAPEX!AV12</f>
        <v>0</v>
      </c>
      <c r="Z21" s="373">
        <f>CAPEX!AW12</f>
        <v>0</v>
      </c>
      <c r="AA21" s="373">
        <f>CAPEX!AX12</f>
        <v>0.5</v>
      </c>
      <c r="AB21" s="171">
        <f>CAPEX!AY12</f>
        <v>0.5</v>
      </c>
      <c r="AC21" s="1"/>
      <c r="AD21" s="401">
        <f>CAPEX!AE12</f>
        <v>0.35000000000000003</v>
      </c>
      <c r="AE21" s="402">
        <f>CAPEX!AF12</f>
        <v>0.35000000000000003</v>
      </c>
      <c r="AF21" s="1"/>
      <c r="AG21" s="115">
        <f>CAPEX!AG12</f>
        <v>0.35000000000000003</v>
      </c>
    </row>
    <row r="22" spans="2:33" ht="27" x14ac:dyDescent="0.25">
      <c r="B22" s="380">
        <v>12</v>
      </c>
      <c r="C22" s="370" t="str">
        <f>CAPEX!F13</f>
        <v>CSQB Energy</v>
      </c>
      <c r="D22" s="371" t="str">
        <f>CAPEX!E13</f>
        <v>Sunora (**)</v>
      </c>
      <c r="E22" s="370" t="str">
        <f>CAPEX!AD13</f>
        <v>Hermosillo</v>
      </c>
      <c r="F22" s="371" t="str">
        <f>CAPEX!AC13</f>
        <v xml:space="preserve"> Sonora</v>
      </c>
      <c r="G22" s="387" t="str">
        <f>CAPEX!G13</f>
        <v>Fotovoltaica</v>
      </c>
      <c r="H22" s="168" t="str">
        <f>CAPEX!K13</f>
        <v>300 MW + 30% BESS</v>
      </c>
      <c r="I22" s="372">
        <f>CAPEX!M13</f>
        <v>46507</v>
      </c>
      <c r="J22" s="169">
        <f>CAPEX!N13</f>
        <v>47238</v>
      </c>
      <c r="K22" s="170">
        <f>CAPEX!AH13</f>
        <v>0.5</v>
      </c>
      <c r="L22" s="373">
        <f>CAPEX!AI13</f>
        <v>1</v>
      </c>
      <c r="M22" s="171">
        <f>CAPEX!AJ13</f>
        <v>0</v>
      </c>
      <c r="N22" s="170">
        <f>CAPEX!AK13</f>
        <v>0.6</v>
      </c>
      <c r="O22" s="373">
        <f>CAPEX!AL13</f>
        <v>0.6</v>
      </c>
      <c r="P22" s="373">
        <f>CAPEX!AM13</f>
        <v>0</v>
      </c>
      <c r="Q22" s="171">
        <f>CAPEX!AN13</f>
        <v>0</v>
      </c>
      <c r="R22" s="170">
        <f>CAPEX!AO13</f>
        <v>0.6</v>
      </c>
      <c r="S22" s="373">
        <f>CAPEX!AP13</f>
        <v>0.6</v>
      </c>
      <c r="T22" s="171">
        <f>CAPEX!AQ13</f>
        <v>1</v>
      </c>
      <c r="U22" s="390">
        <f>CAPEX!AR13</f>
        <v>1</v>
      </c>
      <c r="V22" s="373">
        <f>CAPEX!AS13</f>
        <v>1</v>
      </c>
      <c r="W22" s="373">
        <f>CAPEX!AT13</f>
        <v>0.5</v>
      </c>
      <c r="X22" s="373">
        <f>CAPEX!AU13</f>
        <v>0.5</v>
      </c>
      <c r="Y22" s="373">
        <f>CAPEX!AV13</f>
        <v>0</v>
      </c>
      <c r="Z22" s="373">
        <f>CAPEX!AW13</f>
        <v>0</v>
      </c>
      <c r="AA22" s="373">
        <f>CAPEX!AX13</f>
        <v>0.5</v>
      </c>
      <c r="AB22" s="171">
        <f>CAPEX!AY13</f>
        <v>0.5</v>
      </c>
      <c r="AC22" s="1"/>
      <c r="AD22" s="401">
        <f>CAPEX!AE13</f>
        <v>0.49000000000000005</v>
      </c>
      <c r="AE22" s="402">
        <f>CAPEX!AF13</f>
        <v>0.53999999999999992</v>
      </c>
      <c r="AF22" s="1"/>
      <c r="AG22" s="115">
        <f>CAPEX!AG13</f>
        <v>0.5</v>
      </c>
    </row>
    <row r="23" spans="2:33" ht="27" x14ac:dyDescent="0.25">
      <c r="B23" s="380">
        <v>13</v>
      </c>
      <c r="C23" s="370" t="str">
        <f>CAPEX!F14</f>
        <v>Cúbico</v>
      </c>
      <c r="D23" s="371" t="str">
        <f>CAPEX!E14</f>
        <v>Energías Renovables de Tamaulipas (Altamira)</v>
      </c>
      <c r="E23" s="370" t="str">
        <f>CAPEX!AD14</f>
        <v>Altamira</v>
      </c>
      <c r="F23" s="371" t="str">
        <f>CAPEX!AC14</f>
        <v xml:space="preserve"> Tamaulipas</v>
      </c>
      <c r="G23" s="387" t="str">
        <f>CAPEX!G14</f>
        <v>Fotovoltaica</v>
      </c>
      <c r="H23" s="168" t="str">
        <f>CAPEX!K14</f>
        <v>78 MW + 30% BESS</v>
      </c>
      <c r="I23" s="372">
        <f>CAPEX!M14</f>
        <v>46388</v>
      </c>
      <c r="J23" s="169">
        <f>CAPEX!N14</f>
        <v>46935</v>
      </c>
      <c r="K23" s="170">
        <f>CAPEX!AH14</f>
        <v>1</v>
      </c>
      <c r="L23" s="373">
        <f>CAPEX!AI14</f>
        <v>0.9</v>
      </c>
      <c r="M23" s="171">
        <f>CAPEX!AJ14</f>
        <v>1</v>
      </c>
      <c r="N23" s="170">
        <f>CAPEX!AK14</f>
        <v>1</v>
      </c>
      <c r="O23" s="373">
        <f>CAPEX!AL14</f>
        <v>1</v>
      </c>
      <c r="P23" s="373">
        <f>CAPEX!AM14</f>
        <v>0.9</v>
      </c>
      <c r="Q23" s="171">
        <f>CAPEX!AN14</f>
        <v>0.9</v>
      </c>
      <c r="R23" s="170">
        <f>CAPEX!AO14</f>
        <v>1</v>
      </c>
      <c r="S23" s="373">
        <f>CAPEX!AP14</f>
        <v>1</v>
      </c>
      <c r="T23" s="171">
        <f>CAPEX!AQ14</f>
        <v>1</v>
      </c>
      <c r="U23" s="390">
        <f>CAPEX!AR14</f>
        <v>1</v>
      </c>
      <c r="V23" s="373">
        <f>CAPEX!AS14</f>
        <v>1</v>
      </c>
      <c r="W23" s="373">
        <f>CAPEX!AT14</f>
        <v>0.5</v>
      </c>
      <c r="X23" s="373">
        <f>CAPEX!AU14</f>
        <v>0.5</v>
      </c>
      <c r="Y23" s="373">
        <f>CAPEX!AV14</f>
        <v>1</v>
      </c>
      <c r="Z23" s="373">
        <f>CAPEX!AW14</f>
        <v>1</v>
      </c>
      <c r="AA23" s="373">
        <f>CAPEX!AX14</f>
        <v>0.5</v>
      </c>
      <c r="AB23" s="171">
        <f>CAPEX!AY14</f>
        <v>0.5</v>
      </c>
      <c r="AC23" s="1"/>
      <c r="AD23" s="401">
        <f>CAPEX!AE14</f>
        <v>0.94000000000000017</v>
      </c>
      <c r="AE23" s="402">
        <f>CAPEX!AF14</f>
        <v>0.93000000000000016</v>
      </c>
      <c r="AF23" s="1"/>
      <c r="AG23" s="115">
        <f>CAPEX!AG14</f>
        <v>0.93800000000000028</v>
      </c>
    </row>
    <row r="24" spans="2:33" ht="27" x14ac:dyDescent="0.25">
      <c r="B24" s="380">
        <v>14</v>
      </c>
      <c r="C24" s="370" t="str">
        <f>CAPEX!F15</f>
        <v>Cúbico</v>
      </c>
      <c r="D24" s="371" t="str">
        <f>CAPEX!E15</f>
        <v xml:space="preserve">Energías Renovables De México Tres (Hecelchakan) </v>
      </c>
      <c r="E24" s="370" t="str">
        <f>CAPEX!AD15</f>
        <v>Hecelchakán</v>
      </c>
      <c r="F24" s="371" t="str">
        <f>CAPEX!AC15</f>
        <v xml:space="preserve"> Campeche</v>
      </c>
      <c r="G24" s="387" t="str">
        <f>CAPEX!G15</f>
        <v>Fotovoltaica</v>
      </c>
      <c r="H24" s="168" t="str">
        <f>CAPEX!K15</f>
        <v>72 MW + 30% BESS</v>
      </c>
      <c r="I24" s="372">
        <f>CAPEX!M15</f>
        <v>46507</v>
      </c>
      <c r="J24" s="169">
        <f>CAPEX!N15</f>
        <v>47088</v>
      </c>
      <c r="K24" s="170">
        <f>CAPEX!AH15</f>
        <v>0.8</v>
      </c>
      <c r="L24" s="373">
        <f>CAPEX!AI15</f>
        <v>0.8</v>
      </c>
      <c r="M24" s="171">
        <f>CAPEX!AJ15</f>
        <v>1</v>
      </c>
      <c r="N24" s="170">
        <f>CAPEX!AK15</f>
        <v>0.8</v>
      </c>
      <c r="O24" s="373">
        <f>CAPEX!AL15</f>
        <v>0.8</v>
      </c>
      <c r="P24" s="373">
        <f>CAPEX!AM15</f>
        <v>1</v>
      </c>
      <c r="Q24" s="171">
        <f>CAPEX!AN15</f>
        <v>1</v>
      </c>
      <c r="R24" s="170">
        <f>CAPEX!AO15</f>
        <v>0.8</v>
      </c>
      <c r="S24" s="373">
        <f>CAPEX!AP15</f>
        <v>0.8</v>
      </c>
      <c r="T24" s="171">
        <f>CAPEX!AQ15</f>
        <v>0</v>
      </c>
      <c r="U24" s="390">
        <f>CAPEX!AR15</f>
        <v>0.5</v>
      </c>
      <c r="V24" s="373">
        <f>CAPEX!AS15</f>
        <v>0.5</v>
      </c>
      <c r="W24" s="373">
        <f>CAPEX!AT15</f>
        <v>1</v>
      </c>
      <c r="X24" s="373">
        <f>CAPEX!AU15</f>
        <v>1</v>
      </c>
      <c r="Y24" s="373">
        <f>CAPEX!AV15</f>
        <v>1</v>
      </c>
      <c r="Z24" s="373">
        <f>CAPEX!AW15</f>
        <v>1</v>
      </c>
      <c r="AA24" s="373">
        <f>CAPEX!AX15</f>
        <v>0.5</v>
      </c>
      <c r="AB24" s="171">
        <f>CAPEX!AY15</f>
        <v>0.5</v>
      </c>
      <c r="AC24" s="1"/>
      <c r="AD24" s="401">
        <f>CAPEX!AE15</f>
        <v>0.75000000000000022</v>
      </c>
      <c r="AE24" s="402">
        <f>CAPEX!AF15</f>
        <v>0.75000000000000022</v>
      </c>
      <c r="AF24" s="1"/>
      <c r="AG24" s="115">
        <f>CAPEX!AG15</f>
        <v>0.75000000000000022</v>
      </c>
    </row>
    <row r="25" spans="2:33" ht="27" x14ac:dyDescent="0.25">
      <c r="B25" s="380">
        <v>15</v>
      </c>
      <c r="C25" s="370" t="str">
        <f>CAPEX!F16</f>
        <v>Cúbico</v>
      </c>
      <c r="D25" s="371" t="str">
        <f>CAPEX!E16</f>
        <v>Energía Limpia el Mezquite</v>
      </c>
      <c r="E25" s="370" t="str">
        <f>CAPEX!AD16</f>
        <v>Mina</v>
      </c>
      <c r="F25" s="371" t="str">
        <f>CAPEX!AC16</f>
        <v xml:space="preserve"> Nuevo León</v>
      </c>
      <c r="G25" s="387" t="str">
        <f>CAPEX!G16</f>
        <v>Eólica</v>
      </c>
      <c r="H25" s="168" t="str">
        <f>CAPEX!K16</f>
        <v>300 MW + 30% BESS</v>
      </c>
      <c r="I25" s="372">
        <f>CAPEX!M16</f>
        <v>46507</v>
      </c>
      <c r="J25" s="169">
        <f>CAPEX!N16</f>
        <v>47300</v>
      </c>
      <c r="K25" s="170">
        <f>CAPEX!AH16</f>
        <v>1</v>
      </c>
      <c r="L25" s="373">
        <f>CAPEX!AI16</f>
        <v>0.5</v>
      </c>
      <c r="M25" s="171">
        <f>CAPEX!AJ16</f>
        <v>0.9</v>
      </c>
      <c r="N25" s="170">
        <f>CAPEX!AK16</f>
        <v>0.5</v>
      </c>
      <c r="O25" s="373">
        <f>CAPEX!AL16</f>
        <v>0</v>
      </c>
      <c r="P25" s="373">
        <f>CAPEX!AM16</f>
        <v>0</v>
      </c>
      <c r="Q25" s="171">
        <f>CAPEX!AN16</f>
        <v>0</v>
      </c>
      <c r="R25" s="170">
        <f>CAPEX!AO16</f>
        <v>0.05</v>
      </c>
      <c r="S25" s="373">
        <f>CAPEX!AP16</f>
        <v>0.5</v>
      </c>
      <c r="T25" s="171">
        <f>CAPEX!AQ16</f>
        <v>1</v>
      </c>
      <c r="U25" s="390">
        <f>CAPEX!AR16</f>
        <v>0</v>
      </c>
      <c r="V25" s="373">
        <f>CAPEX!AS16</f>
        <v>0</v>
      </c>
      <c r="W25" s="373">
        <f>CAPEX!AT16</f>
        <v>0</v>
      </c>
      <c r="X25" s="373">
        <f>CAPEX!AU16</f>
        <v>0</v>
      </c>
      <c r="Y25" s="373">
        <f>CAPEX!AV16</f>
        <v>0</v>
      </c>
      <c r="Z25" s="373">
        <f>CAPEX!AW16</f>
        <v>0</v>
      </c>
      <c r="AA25" s="373">
        <f>CAPEX!AX16</f>
        <v>0</v>
      </c>
      <c r="AB25" s="171">
        <f>CAPEX!AY16</f>
        <v>0</v>
      </c>
      <c r="AC25" s="1"/>
      <c r="AD25" s="401">
        <f>CAPEX!AE16</f>
        <v>0.4</v>
      </c>
      <c r="AE25" s="402">
        <f>CAPEX!AF16</f>
        <v>0.34</v>
      </c>
      <c r="AF25" s="1"/>
      <c r="AG25" s="115">
        <f>CAPEX!AG16</f>
        <v>0.38800000000000007</v>
      </c>
    </row>
    <row r="26" spans="2:33" ht="27" x14ac:dyDescent="0.25">
      <c r="B26" s="380">
        <v>16</v>
      </c>
      <c r="C26" s="370" t="str">
        <f>CAPEX!F17</f>
        <v>Cúbico</v>
      </c>
      <c r="D26" s="371" t="str">
        <f>CAPEX!E17</f>
        <v>Energías Renovables Saas (Peto)</v>
      </c>
      <c r="E26" s="370" t="str">
        <f>CAPEX!AD17</f>
        <v>Peto</v>
      </c>
      <c r="F26" s="371" t="str">
        <f>CAPEX!AC17</f>
        <v xml:space="preserve"> Yucatán</v>
      </c>
      <c r="G26" s="387" t="str">
        <f>CAPEX!G17</f>
        <v>Fotovoltaica</v>
      </c>
      <c r="H26" s="168" t="str">
        <f>CAPEX!K17</f>
        <v>72 MW + 30% BESS</v>
      </c>
      <c r="I26" s="372">
        <f>CAPEX!M17</f>
        <v>46507</v>
      </c>
      <c r="J26" s="169">
        <f>CAPEX!N17</f>
        <v>47058</v>
      </c>
      <c r="K26" s="170">
        <f>CAPEX!AH17</f>
        <v>1</v>
      </c>
      <c r="L26" s="373">
        <f>CAPEX!AI17</f>
        <v>0</v>
      </c>
      <c r="M26" s="171">
        <f>CAPEX!AJ17</f>
        <v>1</v>
      </c>
      <c r="N26" s="170">
        <f>CAPEX!AK17</f>
        <v>0.8</v>
      </c>
      <c r="O26" s="373">
        <f>CAPEX!AL17</f>
        <v>0.8</v>
      </c>
      <c r="P26" s="373">
        <f>CAPEX!AM17</f>
        <v>0</v>
      </c>
      <c r="Q26" s="171">
        <f>CAPEX!AN17</f>
        <v>0</v>
      </c>
      <c r="R26" s="170">
        <f>CAPEX!AO17</f>
        <v>1</v>
      </c>
      <c r="S26" s="373">
        <f>CAPEX!AP17</f>
        <v>1</v>
      </c>
      <c r="T26" s="171">
        <f>CAPEX!AQ17</f>
        <v>0.3</v>
      </c>
      <c r="U26" s="390">
        <f>CAPEX!AR17</f>
        <v>0.5</v>
      </c>
      <c r="V26" s="373">
        <f>CAPEX!AS17</f>
        <v>0.5</v>
      </c>
      <c r="W26" s="373">
        <f>CAPEX!AT17</f>
        <v>1</v>
      </c>
      <c r="X26" s="373">
        <f>CAPEX!AU17</f>
        <v>1</v>
      </c>
      <c r="Y26" s="373">
        <f>CAPEX!AV17</f>
        <v>1</v>
      </c>
      <c r="Z26" s="373">
        <f>CAPEX!AW17</f>
        <v>1</v>
      </c>
      <c r="AA26" s="373">
        <f>CAPEX!AX17</f>
        <v>0.5</v>
      </c>
      <c r="AB26" s="171">
        <f>CAPEX!AY17</f>
        <v>0.5</v>
      </c>
      <c r="AC26" s="1"/>
      <c r="AD26" s="401">
        <f>CAPEX!AE17</f>
        <v>0.74000000000000021</v>
      </c>
      <c r="AE26" s="402">
        <f>CAPEX!AF17</f>
        <v>0.64000000000000012</v>
      </c>
      <c r="AF26" s="1"/>
      <c r="AG26" s="115">
        <f>CAPEX!AG17</f>
        <v>0.7200000000000002</v>
      </c>
    </row>
    <row r="27" spans="2:33" ht="27" x14ac:dyDescent="0.25">
      <c r="B27" s="380">
        <v>17</v>
      </c>
      <c r="C27" s="370" t="str">
        <f>CAPEX!F18</f>
        <v>Cúbico</v>
      </c>
      <c r="D27" s="371" t="str">
        <f>CAPEX!E18</f>
        <v xml:space="preserve">Energías Renovables Kiin (Tekax) </v>
      </c>
      <c r="E27" s="370" t="str">
        <f>CAPEX!AD18</f>
        <v>Tekax</v>
      </c>
      <c r="F27" s="371" t="str">
        <f>CAPEX!AC18</f>
        <v xml:space="preserve"> Yucatán</v>
      </c>
      <c r="G27" s="387" t="str">
        <f>CAPEX!G18</f>
        <v>Fotovoltaica</v>
      </c>
      <c r="H27" s="168" t="str">
        <f>CAPEX!K18</f>
        <v>56 MW + 30% BESS</v>
      </c>
      <c r="I27" s="372">
        <f>CAPEX!M18</f>
        <v>46507</v>
      </c>
      <c r="J27" s="169">
        <f>CAPEX!N18</f>
        <v>47058</v>
      </c>
      <c r="K27" s="170">
        <f>CAPEX!AH18</f>
        <v>1</v>
      </c>
      <c r="L27" s="373">
        <f>CAPEX!AI18</f>
        <v>0.5</v>
      </c>
      <c r="M27" s="171">
        <f>CAPEX!AJ18</f>
        <v>1</v>
      </c>
      <c r="N27" s="170">
        <f>CAPEX!AK18</f>
        <v>0.7</v>
      </c>
      <c r="O27" s="373">
        <f>CAPEX!AL18</f>
        <v>0.7</v>
      </c>
      <c r="P27" s="373">
        <f>CAPEX!AM18</f>
        <v>0</v>
      </c>
      <c r="Q27" s="171">
        <f>CAPEX!AN18</f>
        <v>0</v>
      </c>
      <c r="R27" s="170">
        <f>CAPEX!AO18</f>
        <v>1</v>
      </c>
      <c r="S27" s="373">
        <f>CAPEX!AP18</f>
        <v>1</v>
      </c>
      <c r="T27" s="171">
        <f>CAPEX!AQ18</f>
        <v>0.3</v>
      </c>
      <c r="U27" s="390">
        <f>CAPEX!AR18</f>
        <v>0.5</v>
      </c>
      <c r="V27" s="373">
        <f>CAPEX!AS18</f>
        <v>0.5</v>
      </c>
      <c r="W27" s="373">
        <f>CAPEX!AT18</f>
        <v>1</v>
      </c>
      <c r="X27" s="373">
        <f>CAPEX!AU18</f>
        <v>1</v>
      </c>
      <c r="Y27" s="373">
        <f>CAPEX!AV18</f>
        <v>1</v>
      </c>
      <c r="Z27" s="373">
        <f>CAPEX!AW18</f>
        <v>1</v>
      </c>
      <c r="AA27" s="373">
        <f>CAPEX!AX18</f>
        <v>0.5</v>
      </c>
      <c r="AB27" s="171">
        <f>CAPEX!AY18</f>
        <v>0.5</v>
      </c>
      <c r="AC27" s="1"/>
      <c r="AD27" s="401">
        <f>CAPEX!AE18</f>
        <v>0.7200000000000002</v>
      </c>
      <c r="AE27" s="402">
        <f>CAPEX!AF18</f>
        <v>0.67000000000000015</v>
      </c>
      <c r="AF27" s="1"/>
      <c r="AG27" s="115">
        <f>CAPEX!AG18</f>
        <v>0.71000000000000019</v>
      </c>
    </row>
    <row r="28" spans="2:33" ht="27" x14ac:dyDescent="0.25">
      <c r="B28" s="380">
        <v>18</v>
      </c>
      <c r="C28" s="370" t="str">
        <f>CAPEX!F19</f>
        <v>Elawan Wind Mexico III</v>
      </c>
      <c r="D28" s="371" t="str">
        <f>CAPEX!E19</f>
        <v>San Pedro Solar</v>
      </c>
      <c r="E28" s="370" t="str">
        <f>CAPEX!AD19</f>
        <v>Huimalpan</v>
      </c>
      <c r="F28" s="371" t="str">
        <f>CAPEX!AC19</f>
        <v xml:space="preserve"> Querétaro</v>
      </c>
      <c r="G28" s="387" t="str">
        <f>CAPEX!G19</f>
        <v>Fotovoltaica</v>
      </c>
      <c r="H28" s="168" t="str">
        <f>CAPEX!K19</f>
        <v>98.2 MW + 30% BESS</v>
      </c>
      <c r="I28" s="372">
        <f>CAPEX!M19</f>
        <v>46447</v>
      </c>
      <c r="J28" s="169">
        <f>CAPEX!N19</f>
        <v>46843</v>
      </c>
      <c r="K28" s="170">
        <f>CAPEX!AH19</f>
        <v>0.95</v>
      </c>
      <c r="L28" s="373">
        <f>CAPEX!AI19</f>
        <v>0.5</v>
      </c>
      <c r="M28" s="171">
        <f>CAPEX!AJ19</f>
        <v>0.9</v>
      </c>
      <c r="N28" s="170">
        <f>CAPEX!AK19</f>
        <v>0.9</v>
      </c>
      <c r="O28" s="373">
        <f>CAPEX!AL19</f>
        <v>0.9</v>
      </c>
      <c r="P28" s="373">
        <f>CAPEX!AM19</f>
        <v>1</v>
      </c>
      <c r="Q28" s="171">
        <f>CAPEX!AN19</f>
        <v>1</v>
      </c>
      <c r="R28" s="170">
        <f>CAPEX!AO19</f>
        <v>0.9</v>
      </c>
      <c r="S28" s="373">
        <f>CAPEX!AP19</f>
        <v>0.9</v>
      </c>
      <c r="T28" s="171">
        <f>CAPEX!AQ19</f>
        <v>1</v>
      </c>
      <c r="U28" s="390">
        <f>CAPEX!AR19</f>
        <v>1</v>
      </c>
      <c r="V28" s="373">
        <f>CAPEX!AS19</f>
        <v>0.8</v>
      </c>
      <c r="W28" s="373">
        <f>CAPEX!AT19</f>
        <v>1</v>
      </c>
      <c r="X28" s="373">
        <f>CAPEX!AU19</f>
        <v>1</v>
      </c>
      <c r="Y28" s="373">
        <f>CAPEX!AV19</f>
        <v>0.8</v>
      </c>
      <c r="Z28" s="373">
        <f>CAPEX!AW19</f>
        <v>0.8</v>
      </c>
      <c r="AA28" s="373">
        <f>CAPEX!AX19</f>
        <v>0.6</v>
      </c>
      <c r="AB28" s="171">
        <f>CAPEX!AY19</f>
        <v>0.6</v>
      </c>
      <c r="AC28" s="1"/>
      <c r="AD28" s="401">
        <f>CAPEX!AE19</f>
        <v>0.91500000000000015</v>
      </c>
      <c r="AE28" s="402">
        <f>CAPEX!AF19</f>
        <v>0.86000000000000021</v>
      </c>
      <c r="AF28" s="1"/>
      <c r="AG28" s="115">
        <f>CAPEX!AG19</f>
        <v>0.90400000000000025</v>
      </c>
    </row>
    <row r="29" spans="2:33" ht="27" x14ac:dyDescent="0.25">
      <c r="B29" s="380">
        <v>19</v>
      </c>
      <c r="C29" s="370" t="str">
        <f>CAPEX!F20</f>
        <v>Eléctrica Aselco</v>
      </c>
      <c r="D29" s="371" t="str">
        <f>CAPEX!E20</f>
        <v>El Palmar</v>
      </c>
      <c r="E29" s="370" t="str">
        <f>CAPEX!AD20</f>
        <v>Los Cabos</v>
      </c>
      <c r="F29" s="371" t="str">
        <f>CAPEX!AC20</f>
        <v xml:space="preserve"> Baja California Sur</v>
      </c>
      <c r="G29" s="387" t="str">
        <f>CAPEX!G20</f>
        <v>Fotovoltaica</v>
      </c>
      <c r="H29" s="168" t="str">
        <f>CAPEX!K20</f>
        <v>120 MW + 30% BESS</v>
      </c>
      <c r="I29" s="372">
        <f>CAPEX!M20</f>
        <v>46452</v>
      </c>
      <c r="J29" s="169">
        <f>CAPEX!N20</f>
        <v>47238</v>
      </c>
      <c r="K29" s="170">
        <f>CAPEX!AH20</f>
        <v>1</v>
      </c>
      <c r="L29" s="373">
        <f>CAPEX!AI20</f>
        <v>0.5</v>
      </c>
      <c r="M29" s="171">
        <f>CAPEX!AJ20</f>
        <v>0.8</v>
      </c>
      <c r="N29" s="170">
        <f>CAPEX!AK20</f>
        <v>0</v>
      </c>
      <c r="O29" s="373">
        <f>CAPEX!AL20</f>
        <v>0</v>
      </c>
      <c r="P29" s="373">
        <f>CAPEX!AM20</f>
        <v>0</v>
      </c>
      <c r="Q29" s="171">
        <f>CAPEX!AN20</f>
        <v>0</v>
      </c>
      <c r="R29" s="170">
        <f>CAPEX!AO20</f>
        <v>0</v>
      </c>
      <c r="S29" s="373">
        <f>CAPEX!AP20</f>
        <v>0</v>
      </c>
      <c r="T29" s="171">
        <f>CAPEX!AQ20</f>
        <v>1</v>
      </c>
      <c r="U29" s="390">
        <f>CAPEX!AR20</f>
        <v>0.5</v>
      </c>
      <c r="V29" s="373">
        <f>CAPEX!AS20</f>
        <v>0.5</v>
      </c>
      <c r="W29" s="373">
        <f>CAPEX!AT20</f>
        <v>0</v>
      </c>
      <c r="X29" s="373">
        <f>CAPEX!AU20</f>
        <v>0</v>
      </c>
      <c r="Y29" s="373">
        <f>CAPEX!AV20</f>
        <v>0</v>
      </c>
      <c r="Z29" s="373">
        <f>CAPEX!AW20</f>
        <v>0</v>
      </c>
      <c r="AA29" s="373">
        <f>CAPEX!AX20</f>
        <v>0</v>
      </c>
      <c r="AB29" s="171">
        <f>CAPEX!AY20</f>
        <v>0</v>
      </c>
      <c r="AC29" s="1"/>
      <c r="AD29" s="401">
        <f>CAPEX!AE20</f>
        <v>0.30500000000000005</v>
      </c>
      <c r="AE29" s="402">
        <f>CAPEX!AF20</f>
        <v>0.255</v>
      </c>
      <c r="AF29" s="1"/>
      <c r="AG29" s="115">
        <f>CAPEX!AG20</f>
        <v>0.29500000000000004</v>
      </c>
    </row>
    <row r="30" spans="2:33" ht="27" x14ac:dyDescent="0.25">
      <c r="B30" s="380">
        <v>20</v>
      </c>
      <c r="C30" s="370" t="str">
        <f>CAPEX!F21</f>
        <v>Eléctrica Aselco</v>
      </c>
      <c r="D30" s="371" t="str">
        <f>CAPEX!E21</f>
        <v>La Pasión</v>
      </c>
      <c r="E30" s="370" t="str">
        <f>CAPEX!AD21</f>
        <v>La Paz</v>
      </c>
      <c r="F30" s="371" t="str">
        <f>CAPEX!AC21</f>
        <v xml:space="preserve"> Baja California Sur</v>
      </c>
      <c r="G30" s="387" t="str">
        <f>CAPEX!G21</f>
        <v>Fotovoltaica</v>
      </c>
      <c r="H30" s="168" t="str">
        <f>CAPEX!K21</f>
        <v>66 MW + 30% BESS</v>
      </c>
      <c r="I30" s="372">
        <f>CAPEX!M21</f>
        <v>46461</v>
      </c>
      <c r="J30" s="169">
        <f>CAPEX!N21</f>
        <v>47057</v>
      </c>
      <c r="K30" s="170">
        <f>CAPEX!AH21</f>
        <v>0.95</v>
      </c>
      <c r="L30" s="373">
        <f>CAPEX!AI21</f>
        <v>0.8</v>
      </c>
      <c r="M30" s="171">
        <f>CAPEX!AJ21</f>
        <v>1</v>
      </c>
      <c r="N30" s="170">
        <f>CAPEX!AK21</f>
        <v>0</v>
      </c>
      <c r="O30" s="373">
        <f>CAPEX!AL21</f>
        <v>0</v>
      </c>
      <c r="P30" s="373">
        <f>CAPEX!AM21</f>
        <v>0</v>
      </c>
      <c r="Q30" s="171">
        <f>CAPEX!AN21</f>
        <v>0</v>
      </c>
      <c r="R30" s="170">
        <f>CAPEX!AO21</f>
        <v>0</v>
      </c>
      <c r="S30" s="373">
        <f>CAPEX!AP21</f>
        <v>0</v>
      </c>
      <c r="T30" s="171">
        <f>CAPEX!AQ21</f>
        <v>1</v>
      </c>
      <c r="U30" s="390">
        <f>CAPEX!AR21</f>
        <v>0</v>
      </c>
      <c r="V30" s="373">
        <f>CAPEX!AS21</f>
        <v>0</v>
      </c>
      <c r="W30" s="373">
        <f>CAPEX!AT21</f>
        <v>0</v>
      </c>
      <c r="X30" s="373">
        <f>CAPEX!AU21</f>
        <v>0</v>
      </c>
      <c r="Y30" s="373">
        <f>CAPEX!AV21</f>
        <v>0</v>
      </c>
      <c r="Z30" s="373">
        <f>CAPEX!AW21</f>
        <v>0</v>
      </c>
      <c r="AA30" s="373">
        <f>CAPEX!AX21</f>
        <v>0</v>
      </c>
      <c r="AB30" s="171">
        <f>CAPEX!AY21</f>
        <v>0</v>
      </c>
      <c r="AC30" s="1"/>
      <c r="AD30" s="401">
        <f>CAPEX!AE21</f>
        <v>0.29500000000000004</v>
      </c>
      <c r="AE30" s="402">
        <f>CAPEX!AF21</f>
        <v>0.28000000000000003</v>
      </c>
      <c r="AF30" s="1"/>
      <c r="AG30" s="115">
        <f>CAPEX!AG21</f>
        <v>0.29200000000000004</v>
      </c>
    </row>
    <row r="31" spans="2:33" ht="27" x14ac:dyDescent="0.25">
      <c r="B31" s="380">
        <v>21</v>
      </c>
      <c r="C31" s="370" t="str">
        <f>CAPEX!F22</f>
        <v>Eléctrica Aselco</v>
      </c>
      <c r="D31" s="371" t="str">
        <f>CAPEX!E22</f>
        <v>Tikinmul</v>
      </c>
      <c r="E31" s="370" t="str">
        <f>CAPEX!AD22</f>
        <v>Tikinmul</v>
      </c>
      <c r="F31" s="371" t="str">
        <f>CAPEX!AC22</f>
        <v xml:space="preserve"> Campeche</v>
      </c>
      <c r="G31" s="387" t="str">
        <f>CAPEX!G22</f>
        <v>Fotovoltaica</v>
      </c>
      <c r="H31" s="168" t="str">
        <f>CAPEX!K22</f>
        <v>170 MW + 30% BESS</v>
      </c>
      <c r="I31" s="372">
        <f>CAPEX!M22</f>
        <v>46461</v>
      </c>
      <c r="J31" s="169">
        <f>CAPEX!N22</f>
        <v>47238</v>
      </c>
      <c r="K31" s="170">
        <f>CAPEX!AH22</f>
        <v>1</v>
      </c>
      <c r="L31" s="373">
        <f>CAPEX!AI22</f>
        <v>0.8</v>
      </c>
      <c r="M31" s="171">
        <f>CAPEX!AJ22</f>
        <v>0.8</v>
      </c>
      <c r="N31" s="170">
        <f>CAPEX!AK22</f>
        <v>0.6</v>
      </c>
      <c r="O31" s="373">
        <f>CAPEX!AL22</f>
        <v>0</v>
      </c>
      <c r="P31" s="373">
        <f>CAPEX!AM22</f>
        <v>0</v>
      </c>
      <c r="Q31" s="171">
        <f>CAPEX!AN22</f>
        <v>0</v>
      </c>
      <c r="R31" s="170">
        <f>CAPEX!AO22</f>
        <v>0</v>
      </c>
      <c r="S31" s="373">
        <f>CAPEX!AP22</f>
        <v>0</v>
      </c>
      <c r="T31" s="171">
        <f>CAPEX!AQ22</f>
        <v>0</v>
      </c>
      <c r="U31" s="390">
        <f>CAPEX!AR22</f>
        <v>0</v>
      </c>
      <c r="V31" s="373">
        <f>CAPEX!AS22</f>
        <v>0</v>
      </c>
      <c r="W31" s="373">
        <f>CAPEX!AT22</f>
        <v>0</v>
      </c>
      <c r="X31" s="373">
        <f>CAPEX!AU22</f>
        <v>0</v>
      </c>
      <c r="Y31" s="373">
        <f>CAPEX!AV22</f>
        <v>0</v>
      </c>
      <c r="Z31" s="373">
        <f>CAPEX!AW22</f>
        <v>0</v>
      </c>
      <c r="AA31" s="373">
        <f>CAPEX!AX22</f>
        <v>0</v>
      </c>
      <c r="AB31" s="171">
        <f>CAPEX!AY22</f>
        <v>0</v>
      </c>
      <c r="AC31" s="1"/>
      <c r="AD31" s="401">
        <f>CAPEX!AE22</f>
        <v>0.30000000000000004</v>
      </c>
      <c r="AE31" s="402">
        <f>CAPEX!AF22</f>
        <v>0.16000000000000003</v>
      </c>
      <c r="AF31" s="1"/>
      <c r="AG31" s="115">
        <f>CAPEX!AG22</f>
        <v>0.27200000000000008</v>
      </c>
    </row>
    <row r="32" spans="2:33" ht="27" x14ac:dyDescent="0.25">
      <c r="B32" s="380">
        <v>22</v>
      </c>
      <c r="C32" s="370" t="str">
        <f>CAPEX!F23</f>
        <v>Fisterra</v>
      </c>
      <c r="D32" s="371" t="str">
        <f>CAPEX!E23</f>
        <v>Haab Kiin</v>
      </c>
      <c r="E32" s="370" t="str">
        <f>CAPEX!AD23</f>
        <v>Umán</v>
      </c>
      <c r="F32" s="371" t="str">
        <f>CAPEX!AC23</f>
        <v xml:space="preserve"> Yucatán</v>
      </c>
      <c r="G32" s="387" t="str">
        <f>CAPEX!G23</f>
        <v>Fotovoltaica</v>
      </c>
      <c r="H32" s="168" t="str">
        <f>CAPEX!K23</f>
        <v>123.2 MW + 30% BESS</v>
      </c>
      <c r="I32" s="372">
        <f>CAPEX!M23</f>
        <v>46356</v>
      </c>
      <c r="J32" s="169">
        <f>CAPEX!N23</f>
        <v>47208</v>
      </c>
      <c r="K32" s="170">
        <f>CAPEX!AH23</f>
        <v>1</v>
      </c>
      <c r="L32" s="373">
        <f>CAPEX!AI23</f>
        <v>0.75</v>
      </c>
      <c r="M32" s="171">
        <f>CAPEX!AJ23</f>
        <v>1</v>
      </c>
      <c r="N32" s="170">
        <f>CAPEX!AK23</f>
        <v>0.9</v>
      </c>
      <c r="O32" s="373">
        <f>CAPEX!AL23</f>
        <v>0.5</v>
      </c>
      <c r="P32" s="373">
        <f>CAPEX!AM23</f>
        <v>0.5</v>
      </c>
      <c r="Q32" s="171">
        <f>CAPEX!AN23</f>
        <v>0.5</v>
      </c>
      <c r="R32" s="170">
        <f>CAPEX!AO23</f>
        <v>1</v>
      </c>
      <c r="S32" s="373">
        <f>CAPEX!AP23</f>
        <v>1</v>
      </c>
      <c r="T32" s="171">
        <f>CAPEX!AQ23</f>
        <v>0.3</v>
      </c>
      <c r="U32" s="390">
        <f>CAPEX!AR23</f>
        <v>0.6</v>
      </c>
      <c r="V32" s="373">
        <f>CAPEX!AS23</f>
        <v>0.6</v>
      </c>
      <c r="W32" s="373">
        <f>CAPEX!AT23</f>
        <v>1</v>
      </c>
      <c r="X32" s="373">
        <f>CAPEX!AU23</f>
        <v>1</v>
      </c>
      <c r="Y32" s="373">
        <f>CAPEX!AV23</f>
        <v>1</v>
      </c>
      <c r="Z32" s="373">
        <f>CAPEX!AW23</f>
        <v>1</v>
      </c>
      <c r="AA32" s="373">
        <f>CAPEX!AX23</f>
        <v>1</v>
      </c>
      <c r="AB32" s="171">
        <f>CAPEX!AY23</f>
        <v>1</v>
      </c>
      <c r="AC32" s="1"/>
      <c r="AD32" s="401">
        <f>CAPEX!AE23</f>
        <v>0.84000000000000019</v>
      </c>
      <c r="AE32" s="402">
        <f>CAPEX!AF23</f>
        <v>0.73500000000000021</v>
      </c>
      <c r="AF32" s="1"/>
      <c r="AG32" s="115">
        <f>CAPEX!AG23</f>
        <v>0.81900000000000017</v>
      </c>
    </row>
    <row r="33" spans="2:33" ht="27" x14ac:dyDescent="0.25">
      <c r="B33" s="380">
        <v>23</v>
      </c>
      <c r="C33" s="370" t="str">
        <f>CAPEX!F24</f>
        <v>Fisterra</v>
      </c>
      <c r="D33" s="371" t="str">
        <f>CAPEX!E24</f>
        <v>Planta Solar Cerro Colorado</v>
      </c>
      <c r="E33" s="370" t="str">
        <f>CAPEX!AD24</f>
        <v>Sayula de Alemán</v>
      </c>
      <c r="F33" s="371" t="str">
        <f>CAPEX!AC24</f>
        <v xml:space="preserve"> Veracruz</v>
      </c>
      <c r="G33" s="387" t="str">
        <f>CAPEX!G24</f>
        <v>Fotovoltaica</v>
      </c>
      <c r="H33" s="168" t="str">
        <f>CAPEX!K24</f>
        <v>455.68 MW + 30% BESS</v>
      </c>
      <c r="I33" s="372">
        <f>CAPEX!M24</f>
        <v>46356</v>
      </c>
      <c r="J33" s="169">
        <f>CAPEX!N24</f>
        <v>47360</v>
      </c>
      <c r="K33" s="170">
        <f>CAPEX!AH24</f>
        <v>1</v>
      </c>
      <c r="L33" s="373">
        <f>CAPEX!AI24</f>
        <v>0.75</v>
      </c>
      <c r="M33" s="171">
        <f>CAPEX!AJ24</f>
        <v>0.9</v>
      </c>
      <c r="N33" s="170">
        <f>CAPEX!AK24</f>
        <v>0.8</v>
      </c>
      <c r="O33" s="373">
        <f>CAPEX!AL24</f>
        <v>0.8</v>
      </c>
      <c r="P33" s="373">
        <f>CAPEX!AM24</f>
        <v>1</v>
      </c>
      <c r="Q33" s="171">
        <f>CAPEX!AN24</f>
        <v>0</v>
      </c>
      <c r="R33" s="170">
        <f>CAPEX!AO24</f>
        <v>0.8</v>
      </c>
      <c r="S33" s="373">
        <f>CAPEX!AP24</f>
        <v>0.8</v>
      </c>
      <c r="T33" s="171">
        <f>CAPEX!AQ24</f>
        <v>0</v>
      </c>
      <c r="U33" s="390">
        <f>CAPEX!AR24</f>
        <v>0.8</v>
      </c>
      <c r="V33" s="373">
        <f>CAPEX!AS24</f>
        <v>0</v>
      </c>
      <c r="W33" s="373">
        <f>CAPEX!AT24</f>
        <v>1</v>
      </c>
      <c r="X33" s="373">
        <f>CAPEX!AU24</f>
        <v>1</v>
      </c>
      <c r="Y33" s="373">
        <f>CAPEX!AV24</f>
        <v>0.5</v>
      </c>
      <c r="Z33" s="373">
        <f>CAPEX!AW24</f>
        <v>0.5</v>
      </c>
      <c r="AA33" s="373">
        <f>CAPEX!AX24</f>
        <v>0.5</v>
      </c>
      <c r="AB33" s="171">
        <f>CAPEX!AY24</f>
        <v>0.5</v>
      </c>
      <c r="AC33" s="1"/>
      <c r="AD33" s="401">
        <f>CAPEX!AE24</f>
        <v>0.75000000000000022</v>
      </c>
      <c r="AE33" s="402">
        <f>CAPEX!AF24</f>
        <v>0.58500000000000019</v>
      </c>
      <c r="AF33" s="1"/>
      <c r="AG33" s="115">
        <f>CAPEX!AG24</f>
        <v>0.7170000000000003</v>
      </c>
    </row>
    <row r="34" spans="2:33" ht="27" x14ac:dyDescent="0.25">
      <c r="B34" s="380">
        <v>24</v>
      </c>
      <c r="C34" s="370" t="str">
        <f>CAPEX!F25</f>
        <v>Fisterra</v>
      </c>
      <c r="D34" s="371" t="str">
        <f>CAPEX!E25</f>
        <v>San Simón Solar</v>
      </c>
      <c r="E34" s="370" t="str">
        <f>CAPEX!AD25</f>
        <v>San Quintín</v>
      </c>
      <c r="F34" s="371" t="str">
        <f>CAPEX!AC25</f>
        <v xml:space="preserve"> Baja California</v>
      </c>
      <c r="G34" s="387" t="str">
        <f>CAPEX!G25</f>
        <v>Fotovoltaica</v>
      </c>
      <c r="H34" s="168" t="str">
        <f>CAPEX!K25</f>
        <v>80 MW + 30% BESS</v>
      </c>
      <c r="I34" s="372">
        <f>CAPEX!M25</f>
        <v>46341</v>
      </c>
      <c r="J34" s="169">
        <f>CAPEX!N25</f>
        <v>47118</v>
      </c>
      <c r="K34" s="170">
        <f>CAPEX!AH25</f>
        <v>1</v>
      </c>
      <c r="L34" s="373">
        <f>CAPEX!AI25</f>
        <v>0.9</v>
      </c>
      <c r="M34" s="171">
        <f>CAPEX!AJ25</f>
        <v>0.9</v>
      </c>
      <c r="N34" s="170">
        <f>CAPEX!AK25</f>
        <v>1</v>
      </c>
      <c r="O34" s="373">
        <f>CAPEX!AL25</f>
        <v>1</v>
      </c>
      <c r="P34" s="373">
        <f>CAPEX!AM25</f>
        <v>1</v>
      </c>
      <c r="Q34" s="171">
        <f>CAPEX!AN25</f>
        <v>1</v>
      </c>
      <c r="R34" s="170">
        <f>CAPEX!AO25</f>
        <v>1</v>
      </c>
      <c r="S34" s="373">
        <f>CAPEX!AP25</f>
        <v>1</v>
      </c>
      <c r="T34" s="171">
        <f>CAPEX!AQ25</f>
        <v>1</v>
      </c>
      <c r="U34" s="390">
        <f>CAPEX!AR25</f>
        <v>1</v>
      </c>
      <c r="V34" s="373">
        <f>CAPEX!AS25</f>
        <v>1</v>
      </c>
      <c r="W34" s="373">
        <f>CAPEX!AT25</f>
        <v>0.5</v>
      </c>
      <c r="X34" s="373">
        <f>CAPEX!AU25</f>
        <v>0.5</v>
      </c>
      <c r="Y34" s="373">
        <f>CAPEX!AV25</f>
        <v>1</v>
      </c>
      <c r="Z34" s="373">
        <f>CAPEX!AW25</f>
        <v>1</v>
      </c>
      <c r="AA34" s="373">
        <f>CAPEX!AX25</f>
        <v>0.5</v>
      </c>
      <c r="AB34" s="171">
        <f>CAPEX!AY25</f>
        <v>0.5</v>
      </c>
      <c r="AC34" s="1"/>
      <c r="AD34" s="401">
        <f>CAPEX!AE25</f>
        <v>0.94000000000000006</v>
      </c>
      <c r="AE34" s="402">
        <f>CAPEX!AF25</f>
        <v>0.93</v>
      </c>
      <c r="AF34" s="1"/>
      <c r="AG34" s="115">
        <f>CAPEX!AG25</f>
        <v>0.93800000000000017</v>
      </c>
    </row>
    <row r="35" spans="2:33" ht="27" x14ac:dyDescent="0.25">
      <c r="B35" s="380">
        <v>25</v>
      </c>
      <c r="C35" s="370" t="str">
        <f>CAPEX!F26</f>
        <v>Grupo Pantera</v>
      </c>
      <c r="D35" s="371" t="str">
        <f>CAPEX!E26</f>
        <v>La Noria</v>
      </c>
      <c r="E35" s="370" t="str">
        <f>CAPEX!AD26</f>
        <v>Villa Unión</v>
      </c>
      <c r="F35" s="371" t="str">
        <f>CAPEX!AC26</f>
        <v xml:space="preserve"> Coahuila</v>
      </c>
      <c r="G35" s="387" t="str">
        <f>CAPEX!G26</f>
        <v>Eólica</v>
      </c>
      <c r="H35" s="168" t="str">
        <f>CAPEX!K26</f>
        <v>301.5 MW + 30% BESS</v>
      </c>
      <c r="I35" s="372">
        <f>CAPEX!M26</f>
        <v>46478</v>
      </c>
      <c r="J35" s="169">
        <f>CAPEX!N26</f>
        <v>47209</v>
      </c>
      <c r="K35" s="170">
        <f>CAPEX!AH26</f>
        <v>1</v>
      </c>
      <c r="L35" s="373">
        <f>CAPEX!AI26</f>
        <v>1</v>
      </c>
      <c r="M35" s="171">
        <f>CAPEX!AJ26</f>
        <v>0.5</v>
      </c>
      <c r="N35" s="170">
        <f>CAPEX!AK26</f>
        <v>0.5</v>
      </c>
      <c r="O35" s="373">
        <f>CAPEX!AL26</f>
        <v>0</v>
      </c>
      <c r="P35" s="373">
        <f>CAPEX!AM26</f>
        <v>0</v>
      </c>
      <c r="Q35" s="171">
        <f>CAPEX!AN26</f>
        <v>0</v>
      </c>
      <c r="R35" s="170">
        <f>CAPEX!AO26</f>
        <v>0.7</v>
      </c>
      <c r="S35" s="373">
        <f>CAPEX!AP26</f>
        <v>0.7</v>
      </c>
      <c r="T35" s="171">
        <f>CAPEX!AQ26</f>
        <v>1</v>
      </c>
      <c r="U35" s="390">
        <f>CAPEX!AR26</f>
        <v>0.5</v>
      </c>
      <c r="V35" s="373">
        <f>CAPEX!AS26</f>
        <v>0.5</v>
      </c>
      <c r="W35" s="373">
        <f>CAPEX!AT26</f>
        <v>0.5</v>
      </c>
      <c r="X35" s="373">
        <f>CAPEX!AU26</f>
        <v>0.5</v>
      </c>
      <c r="Y35" s="373">
        <f>CAPEX!AV26</f>
        <v>0</v>
      </c>
      <c r="Z35" s="373">
        <f>CAPEX!AW26</f>
        <v>0</v>
      </c>
      <c r="AA35" s="373">
        <f>CAPEX!AX26</f>
        <v>0</v>
      </c>
      <c r="AB35" s="171">
        <f>CAPEX!AY26</f>
        <v>0</v>
      </c>
      <c r="AC35" s="1"/>
      <c r="AD35" s="401">
        <f>CAPEX!AE26</f>
        <v>0.54</v>
      </c>
      <c r="AE35" s="402">
        <f>CAPEX!AF26</f>
        <v>0.44000000000000006</v>
      </c>
      <c r="AF35" s="1"/>
      <c r="AG35" s="115">
        <f>CAPEX!AG26</f>
        <v>0.52</v>
      </c>
    </row>
    <row r="36" spans="2:33" ht="27" x14ac:dyDescent="0.25">
      <c r="B36" s="380">
        <v>26</v>
      </c>
      <c r="C36" s="370" t="str">
        <f>CAPEX!F27</f>
        <v>Grupo Pantera</v>
      </c>
      <c r="D36" s="371" t="str">
        <f>CAPEX!E27</f>
        <v>Solitario</v>
      </c>
      <c r="E36" s="370" t="str">
        <f>CAPEX!AD27</f>
        <v>San Luis Río Colorado</v>
      </c>
      <c r="F36" s="371" t="str">
        <f>CAPEX!AC27</f>
        <v xml:space="preserve"> Sonora</v>
      </c>
      <c r="G36" s="387" t="str">
        <f>CAPEX!G27</f>
        <v>Fotovoltaica</v>
      </c>
      <c r="H36" s="168" t="str">
        <f>CAPEX!K27</f>
        <v>200 MW + 32.5% BESS</v>
      </c>
      <c r="I36" s="372">
        <f>CAPEX!M27</f>
        <v>46388</v>
      </c>
      <c r="J36" s="169">
        <f>CAPEX!N27</f>
        <v>47025</v>
      </c>
      <c r="K36" s="170">
        <f>CAPEX!AH27</f>
        <v>1</v>
      </c>
      <c r="L36" s="373">
        <f>CAPEX!AI27</f>
        <v>0.5</v>
      </c>
      <c r="M36" s="171">
        <f>CAPEX!AJ27</f>
        <v>1</v>
      </c>
      <c r="N36" s="170">
        <f>CAPEX!AK27</f>
        <v>0.7</v>
      </c>
      <c r="O36" s="373">
        <f>CAPEX!AL27</f>
        <v>0.5</v>
      </c>
      <c r="P36" s="373">
        <f>CAPEX!AM27</f>
        <v>0</v>
      </c>
      <c r="Q36" s="171">
        <f>CAPEX!AN27</f>
        <v>0</v>
      </c>
      <c r="R36" s="170">
        <f>CAPEX!AO27</f>
        <v>0.7</v>
      </c>
      <c r="S36" s="373">
        <f>CAPEX!AP27</f>
        <v>0.7</v>
      </c>
      <c r="T36" s="171">
        <f>CAPEX!AQ27</f>
        <v>1</v>
      </c>
      <c r="U36" s="390">
        <f>CAPEX!AR27</f>
        <v>1</v>
      </c>
      <c r="V36" s="373">
        <f>CAPEX!AS27</f>
        <v>0</v>
      </c>
      <c r="W36" s="373">
        <f>CAPEX!AT27</f>
        <v>0</v>
      </c>
      <c r="X36" s="373">
        <f>CAPEX!AU27</f>
        <v>0</v>
      </c>
      <c r="Y36" s="373">
        <f>CAPEX!AV27</f>
        <v>0.5</v>
      </c>
      <c r="Z36" s="373">
        <f>CAPEX!AW27</f>
        <v>0</v>
      </c>
      <c r="AA36" s="373">
        <f>CAPEX!AX27</f>
        <v>0.5</v>
      </c>
      <c r="AB36" s="171">
        <f>CAPEX!AY27</f>
        <v>0.5</v>
      </c>
      <c r="AC36" s="1"/>
      <c r="AD36" s="401">
        <f>CAPEX!AE27</f>
        <v>0.68</v>
      </c>
      <c r="AE36" s="402">
        <f>CAPEX!AF27</f>
        <v>0.51500000000000001</v>
      </c>
      <c r="AF36" s="1"/>
      <c r="AG36" s="115">
        <f>CAPEX!AG27</f>
        <v>0.64700000000000002</v>
      </c>
    </row>
    <row r="37" spans="2:33" ht="27" x14ac:dyDescent="0.25">
      <c r="B37" s="380">
        <v>27</v>
      </c>
      <c r="C37" s="370" t="str">
        <f>CAPEX!F28</f>
        <v>Grupo ZML</v>
      </c>
      <c r="D37" s="371" t="str">
        <f>CAPEX!E28</f>
        <v>Álvaro Obregón</v>
      </c>
      <c r="E37" s="370" t="str">
        <f>CAPEX!AD28</f>
        <v>La Paz</v>
      </c>
      <c r="F37" s="371" t="str">
        <f>CAPEX!AC28</f>
        <v xml:space="preserve"> Baja California Sur</v>
      </c>
      <c r="G37" s="387" t="str">
        <f>CAPEX!G28</f>
        <v>Fotovoltaica</v>
      </c>
      <c r="H37" s="168" t="str">
        <f>CAPEX!K28</f>
        <v>90 MW + 100% BESS</v>
      </c>
      <c r="I37" s="372">
        <f>CAPEX!M28</f>
        <v>46507</v>
      </c>
      <c r="J37" s="169">
        <f>CAPEX!N28</f>
        <v>47054</v>
      </c>
      <c r="K37" s="170">
        <f>CAPEX!AH28</f>
        <v>1</v>
      </c>
      <c r="L37" s="373">
        <f>CAPEX!AI28</f>
        <v>0.8</v>
      </c>
      <c r="M37" s="171">
        <f>CAPEX!AJ28</f>
        <v>0.9</v>
      </c>
      <c r="N37" s="170">
        <f>CAPEX!AK28</f>
        <v>0.8</v>
      </c>
      <c r="O37" s="373">
        <f>CAPEX!AL28</f>
        <v>0.8</v>
      </c>
      <c r="P37" s="373">
        <f>CAPEX!AM28</f>
        <v>0.5</v>
      </c>
      <c r="Q37" s="171">
        <f>CAPEX!AN28</f>
        <v>0.5</v>
      </c>
      <c r="R37" s="170">
        <f>CAPEX!AO28</f>
        <v>0.8</v>
      </c>
      <c r="S37" s="373">
        <f>CAPEX!AP28</f>
        <v>0.8</v>
      </c>
      <c r="T37" s="171">
        <f>CAPEX!AQ28</f>
        <v>1</v>
      </c>
      <c r="U37" s="390">
        <f>CAPEX!AR28</f>
        <v>0.5</v>
      </c>
      <c r="V37" s="373">
        <f>CAPEX!AS28</f>
        <v>0.5</v>
      </c>
      <c r="W37" s="373">
        <f>CAPEX!AT28</f>
        <v>1</v>
      </c>
      <c r="X37" s="373">
        <f>CAPEX!AU28</f>
        <v>1</v>
      </c>
      <c r="Y37" s="373">
        <f>CAPEX!AV28</f>
        <v>0.8</v>
      </c>
      <c r="Z37" s="373">
        <f>CAPEX!AW28</f>
        <v>0.8</v>
      </c>
      <c r="AA37" s="373">
        <f>CAPEX!AX28</f>
        <v>1</v>
      </c>
      <c r="AB37" s="171">
        <f>CAPEX!AY28</f>
        <v>1</v>
      </c>
      <c r="AC37" s="1"/>
      <c r="AD37" s="401">
        <f>CAPEX!AE28</f>
        <v>0.82500000000000018</v>
      </c>
      <c r="AE37" s="402">
        <f>CAPEX!AF28</f>
        <v>0.80500000000000016</v>
      </c>
      <c r="AF37" s="1"/>
      <c r="AG37" s="115">
        <f>CAPEX!AG28</f>
        <v>0.82100000000000017</v>
      </c>
    </row>
    <row r="38" spans="2:33" ht="27" x14ac:dyDescent="0.25">
      <c r="B38" s="380">
        <v>28</v>
      </c>
      <c r="C38" s="370" t="str">
        <f>CAPEX!F29</f>
        <v>MIP Freeman Energy</v>
      </c>
      <c r="D38" s="371" t="str">
        <f>CAPEX!E29</f>
        <v>CFV Las Garzas (**)</v>
      </c>
      <c r="E38" s="370" t="str">
        <f>CAPEX!AD29</f>
        <v>Lerdo</v>
      </c>
      <c r="F38" s="371" t="str">
        <f>CAPEX!AC29</f>
        <v xml:space="preserve"> Durango</v>
      </c>
      <c r="G38" s="387" t="str">
        <f>CAPEX!G29</f>
        <v>Fotovoltaica</v>
      </c>
      <c r="H38" s="168" t="str">
        <f>CAPEX!K29</f>
        <v>270 MW + 30% BESS</v>
      </c>
      <c r="I38" s="372">
        <f>CAPEX!M29</f>
        <v>46477</v>
      </c>
      <c r="J38" s="169">
        <f>CAPEX!N29</f>
        <v>47302</v>
      </c>
      <c r="K38" s="170">
        <f>CAPEX!AH29</f>
        <v>0.5</v>
      </c>
      <c r="L38" s="373">
        <f>CAPEX!AI29</f>
        <v>0.3</v>
      </c>
      <c r="M38" s="171">
        <f>CAPEX!AJ29</f>
        <v>1</v>
      </c>
      <c r="N38" s="170">
        <f>CAPEX!AK29</f>
        <v>0.7</v>
      </c>
      <c r="O38" s="373">
        <f>CAPEX!AL29</f>
        <v>0</v>
      </c>
      <c r="P38" s="373">
        <f>CAPEX!AM29</f>
        <v>0</v>
      </c>
      <c r="Q38" s="171">
        <f>CAPEX!AN29</f>
        <v>0</v>
      </c>
      <c r="R38" s="170">
        <f>CAPEX!AO29</f>
        <v>0</v>
      </c>
      <c r="S38" s="373">
        <f>CAPEX!AP29</f>
        <v>0</v>
      </c>
      <c r="T38" s="171">
        <f>CAPEX!AQ29</f>
        <v>1</v>
      </c>
      <c r="U38" s="390">
        <f>CAPEX!AR29</f>
        <v>0</v>
      </c>
      <c r="V38" s="373">
        <f>CAPEX!AS29</f>
        <v>0</v>
      </c>
      <c r="W38" s="373">
        <f>CAPEX!AT29</f>
        <v>0.5</v>
      </c>
      <c r="X38" s="373">
        <f>CAPEX!AU29</f>
        <v>0.5</v>
      </c>
      <c r="Y38" s="373">
        <f>CAPEX!AV29</f>
        <v>0.5</v>
      </c>
      <c r="Z38" s="373">
        <f>CAPEX!AW29</f>
        <v>0</v>
      </c>
      <c r="AA38" s="373">
        <f>CAPEX!AX29</f>
        <v>0</v>
      </c>
      <c r="AB38" s="171">
        <f>CAPEX!AY29</f>
        <v>0</v>
      </c>
      <c r="AC38" s="1"/>
      <c r="AD38" s="401">
        <f>CAPEX!AE29</f>
        <v>0.44000000000000006</v>
      </c>
      <c r="AE38" s="402">
        <f>CAPEX!AF29</f>
        <v>0.255</v>
      </c>
      <c r="AF38" s="1"/>
      <c r="AG38" s="115">
        <f>CAPEX!AG29</f>
        <v>0.40300000000000008</v>
      </c>
    </row>
    <row r="39" spans="2:33" ht="27" x14ac:dyDescent="0.25">
      <c r="B39" s="380">
        <v>29</v>
      </c>
      <c r="C39" s="370" t="str">
        <f>CAPEX!F30</f>
        <v>Polaris</v>
      </c>
      <c r="D39" s="371" t="str">
        <f>CAPEX!E30</f>
        <v>Don Humberto</v>
      </c>
      <c r="E39" s="370" t="str">
        <f>CAPEX!AD30</f>
        <v>Culiacán</v>
      </c>
      <c r="F39" s="371" t="str">
        <f>CAPEX!AC30</f>
        <v xml:space="preserve"> Sinaloa</v>
      </c>
      <c r="G39" s="387" t="str">
        <f>CAPEX!G30</f>
        <v>Fotovoltaica</v>
      </c>
      <c r="H39" s="168" t="str">
        <f>CAPEX!K30</f>
        <v>19.2 MW + 30% BESS</v>
      </c>
      <c r="I39" s="372">
        <f>CAPEX!M30</f>
        <v>46327</v>
      </c>
      <c r="J39" s="169">
        <f>CAPEX!N30</f>
        <v>46844</v>
      </c>
      <c r="K39" s="170">
        <f>CAPEX!AH30</f>
        <v>0.9</v>
      </c>
      <c r="L39" s="373">
        <f>CAPEX!AI30</f>
        <v>0</v>
      </c>
      <c r="M39" s="171">
        <f>CAPEX!AJ30</f>
        <v>1</v>
      </c>
      <c r="N39" s="170">
        <f>CAPEX!AK30</f>
        <v>0.8</v>
      </c>
      <c r="O39" s="373">
        <f>CAPEX!AL30</f>
        <v>0.8</v>
      </c>
      <c r="P39" s="373">
        <f>CAPEX!AM30</f>
        <v>1</v>
      </c>
      <c r="Q39" s="171">
        <f>CAPEX!AN30</f>
        <v>1</v>
      </c>
      <c r="R39" s="170">
        <f>CAPEX!AO30</f>
        <v>1</v>
      </c>
      <c r="S39" s="373">
        <f>CAPEX!AP30</f>
        <v>1</v>
      </c>
      <c r="T39" s="171">
        <f>CAPEX!AQ30</f>
        <v>1</v>
      </c>
      <c r="U39" s="390">
        <f>CAPEX!AR30</f>
        <v>0.7</v>
      </c>
      <c r="V39" s="373">
        <f>CAPEX!AS30</f>
        <v>0.7</v>
      </c>
      <c r="W39" s="373">
        <f>CAPEX!AT30</f>
        <v>1</v>
      </c>
      <c r="X39" s="373">
        <f>CAPEX!AU30</f>
        <v>1</v>
      </c>
      <c r="Y39" s="373">
        <f>CAPEX!AV30</f>
        <v>0</v>
      </c>
      <c r="Z39" s="373">
        <f>CAPEX!AW30</f>
        <v>0</v>
      </c>
      <c r="AA39" s="373">
        <f>CAPEX!AX30</f>
        <v>0.5</v>
      </c>
      <c r="AB39" s="171">
        <f>CAPEX!AY30</f>
        <v>0.5</v>
      </c>
      <c r="AC39" s="1"/>
      <c r="AD39" s="401">
        <f>CAPEX!AE30</f>
        <v>0.86000000000000021</v>
      </c>
      <c r="AE39" s="402">
        <f>CAPEX!AF30</f>
        <v>0.77000000000000013</v>
      </c>
      <c r="AF39" s="1"/>
      <c r="AG39" s="115">
        <f>CAPEX!AG30</f>
        <v>0.84200000000000019</v>
      </c>
    </row>
    <row r="40" spans="2:33" ht="27" x14ac:dyDescent="0.25">
      <c r="B40" s="380">
        <v>30</v>
      </c>
      <c r="C40" s="370" t="str">
        <f>CAPEX!F31</f>
        <v>Polaris</v>
      </c>
      <c r="D40" s="371" t="str">
        <f>CAPEX!E31</f>
        <v>Los Girasoles</v>
      </c>
      <c r="E40" s="370" t="str">
        <f>CAPEX!AD31</f>
        <v>José María Morelos</v>
      </c>
      <c r="F40" s="371" t="str">
        <f>CAPEX!AC31</f>
        <v xml:space="preserve"> Quintana Roo</v>
      </c>
      <c r="G40" s="387" t="str">
        <f>CAPEX!G31</f>
        <v>Fotovoltaica</v>
      </c>
      <c r="H40" s="168" t="str">
        <f>CAPEX!K31</f>
        <v>110 MW + 30% BESS</v>
      </c>
      <c r="I40" s="372">
        <f>CAPEX!M31</f>
        <v>46447</v>
      </c>
      <c r="J40" s="169">
        <f>CAPEX!N31</f>
        <v>47085</v>
      </c>
      <c r="K40" s="170">
        <f>CAPEX!AH31</f>
        <v>1</v>
      </c>
      <c r="L40" s="373">
        <f>CAPEX!AI31</f>
        <v>1</v>
      </c>
      <c r="M40" s="171">
        <f>CAPEX!AJ31</f>
        <v>1</v>
      </c>
      <c r="N40" s="170">
        <f>CAPEX!AK31</f>
        <v>0.9</v>
      </c>
      <c r="O40" s="373">
        <f>CAPEX!AL31</f>
        <v>0.9</v>
      </c>
      <c r="P40" s="373">
        <f>CAPEX!AM31</f>
        <v>0</v>
      </c>
      <c r="Q40" s="171">
        <f>CAPEX!AN31</f>
        <v>0</v>
      </c>
      <c r="R40" s="170">
        <f>CAPEX!AO31</f>
        <v>0.8</v>
      </c>
      <c r="S40" s="373">
        <f>CAPEX!AP31</f>
        <v>0.8</v>
      </c>
      <c r="T40" s="171">
        <f>CAPEX!AQ31</f>
        <v>0</v>
      </c>
      <c r="U40" s="390">
        <f>CAPEX!AR31</f>
        <v>0</v>
      </c>
      <c r="V40" s="373">
        <f>CAPEX!AS31</f>
        <v>0</v>
      </c>
      <c r="W40" s="373">
        <f>CAPEX!AT31</f>
        <v>1</v>
      </c>
      <c r="X40" s="373">
        <f>CAPEX!AU31</f>
        <v>1</v>
      </c>
      <c r="Y40" s="373">
        <f>CAPEX!AV31</f>
        <v>0</v>
      </c>
      <c r="Z40" s="373">
        <f>CAPEX!AW31</f>
        <v>0</v>
      </c>
      <c r="AA40" s="373">
        <f>CAPEX!AX31</f>
        <v>1</v>
      </c>
      <c r="AB40" s="171">
        <f>CAPEX!AY31</f>
        <v>1</v>
      </c>
      <c r="AC40" s="1"/>
      <c r="AD40" s="401">
        <f>CAPEX!AE31</f>
        <v>0.64000000000000012</v>
      </c>
      <c r="AE40" s="402">
        <f>CAPEX!AF31</f>
        <v>0.64000000000000012</v>
      </c>
      <c r="AF40" s="1"/>
      <c r="AG40" s="115">
        <f>CAPEX!AG31</f>
        <v>0.64000000000000012</v>
      </c>
    </row>
    <row r="41" spans="2:33" ht="27" x14ac:dyDescent="0.25">
      <c r="B41" s="380">
        <v>31</v>
      </c>
      <c r="C41" s="370" t="str">
        <f>CAPEX!F32</f>
        <v>Polaris</v>
      </c>
      <c r="D41" s="371" t="str">
        <f>CAPEX!E32</f>
        <v>Tres Hermanos</v>
      </c>
      <c r="E41" s="370" t="str">
        <f>CAPEX!AD32</f>
        <v>Huamantla / Xaloztoc</v>
      </c>
      <c r="F41" s="371" t="str">
        <f>CAPEX!AC32</f>
        <v xml:space="preserve"> Tlaxcala </v>
      </c>
      <c r="G41" s="387" t="str">
        <f>CAPEX!G32</f>
        <v>Fotovoltaica</v>
      </c>
      <c r="H41" s="168" t="str">
        <f>CAPEX!K32</f>
        <v>75 MW + 30% BESS</v>
      </c>
      <c r="I41" s="372">
        <f>CAPEX!M32</f>
        <v>46447</v>
      </c>
      <c r="J41" s="169">
        <f>CAPEX!N32</f>
        <v>47088</v>
      </c>
      <c r="K41" s="170">
        <f>CAPEX!AH32</f>
        <v>1</v>
      </c>
      <c r="L41" s="373">
        <f>CAPEX!AI32</f>
        <v>0</v>
      </c>
      <c r="M41" s="171">
        <f>CAPEX!AJ32</f>
        <v>1</v>
      </c>
      <c r="N41" s="170">
        <f>CAPEX!AK32</f>
        <v>0.7</v>
      </c>
      <c r="O41" s="373">
        <f>CAPEX!AL32</f>
        <v>0.7</v>
      </c>
      <c r="P41" s="373">
        <f>CAPEX!AM32</f>
        <v>1</v>
      </c>
      <c r="Q41" s="171">
        <f>CAPEX!AN32</f>
        <v>0</v>
      </c>
      <c r="R41" s="170">
        <f>CAPEX!AO32</f>
        <v>0.7</v>
      </c>
      <c r="S41" s="373">
        <f>CAPEX!AP32</f>
        <v>0.7</v>
      </c>
      <c r="T41" s="171">
        <f>CAPEX!AQ32</f>
        <v>0</v>
      </c>
      <c r="U41" s="390">
        <f>CAPEX!AR32</f>
        <v>0.5</v>
      </c>
      <c r="V41" s="373">
        <f>CAPEX!AS32</f>
        <v>0</v>
      </c>
      <c r="W41" s="373">
        <f>CAPEX!AT32</f>
        <v>1</v>
      </c>
      <c r="X41" s="373">
        <f>CAPEX!AU32</f>
        <v>1</v>
      </c>
      <c r="Y41" s="373">
        <f>CAPEX!AV32</f>
        <v>0</v>
      </c>
      <c r="Z41" s="373">
        <f>CAPEX!AW32</f>
        <v>0</v>
      </c>
      <c r="AA41" s="373">
        <f>CAPEX!AX32</f>
        <v>0</v>
      </c>
      <c r="AB41" s="171">
        <f>CAPEX!AY32</f>
        <v>0</v>
      </c>
      <c r="AC41" s="1"/>
      <c r="AD41" s="401">
        <f>CAPEX!AE32</f>
        <v>0.65500000000000003</v>
      </c>
      <c r="AE41" s="402">
        <f>CAPEX!AF32</f>
        <v>0.43</v>
      </c>
      <c r="AF41" s="1"/>
      <c r="AG41" s="115">
        <f>CAPEX!AG32</f>
        <v>0.61</v>
      </c>
    </row>
    <row r="42" spans="2:33" ht="27" x14ac:dyDescent="0.25">
      <c r="B42" s="380">
        <v>32</v>
      </c>
      <c r="C42" s="370" t="str">
        <f>CAPEX!F33</f>
        <v>Selka Power</v>
      </c>
      <c r="D42" s="371" t="str">
        <f>CAPEX!E33</f>
        <v>Selka Power Plant 1</v>
      </c>
      <c r="E42" s="370" t="str">
        <f>CAPEX!AD33</f>
        <v>Romita</v>
      </c>
      <c r="F42" s="371" t="str">
        <f>CAPEX!AC33</f>
        <v xml:space="preserve"> Guanajuato</v>
      </c>
      <c r="G42" s="387" t="str">
        <f>CAPEX!G33</f>
        <v>Fotovoltaica</v>
      </c>
      <c r="H42" s="168" t="str">
        <f>CAPEX!K33</f>
        <v>141.4 MW + 30% BESS</v>
      </c>
      <c r="I42" s="372">
        <f>CAPEX!M33</f>
        <v>46357</v>
      </c>
      <c r="J42" s="169">
        <f>CAPEX!N33</f>
        <v>46905</v>
      </c>
      <c r="K42" s="170">
        <f>CAPEX!AH33</f>
        <v>0.9</v>
      </c>
      <c r="L42" s="373">
        <f>CAPEX!AI33</f>
        <v>0</v>
      </c>
      <c r="M42" s="171">
        <f>CAPEX!AJ33</f>
        <v>0.9</v>
      </c>
      <c r="N42" s="170">
        <f>CAPEX!AK33</f>
        <v>0.9</v>
      </c>
      <c r="O42" s="373">
        <f>CAPEX!AL33</f>
        <v>0.9</v>
      </c>
      <c r="P42" s="373">
        <f>CAPEX!AM33</f>
        <v>1</v>
      </c>
      <c r="Q42" s="171">
        <f>CAPEX!AN33</f>
        <v>0</v>
      </c>
      <c r="R42" s="170">
        <f>CAPEX!AO33</f>
        <v>0.9</v>
      </c>
      <c r="S42" s="373">
        <f>CAPEX!AP33</f>
        <v>0</v>
      </c>
      <c r="T42" s="171">
        <f>CAPEX!AQ33</f>
        <v>1</v>
      </c>
      <c r="U42" s="390">
        <f>CAPEX!AR33</f>
        <v>1</v>
      </c>
      <c r="V42" s="373">
        <f>CAPEX!AS33</f>
        <v>0</v>
      </c>
      <c r="W42" s="373">
        <f>CAPEX!AT33</f>
        <v>1</v>
      </c>
      <c r="X42" s="373">
        <f>CAPEX!AU33</f>
        <v>0</v>
      </c>
      <c r="Y42" s="373">
        <f>CAPEX!AV33</f>
        <v>0.5</v>
      </c>
      <c r="Z42" s="373">
        <f>CAPEX!AW33</f>
        <v>0</v>
      </c>
      <c r="AA42" s="373">
        <f>CAPEX!AX33</f>
        <v>0</v>
      </c>
      <c r="AB42" s="171">
        <f>CAPEX!AY33</f>
        <v>0</v>
      </c>
      <c r="AC42" s="1"/>
      <c r="AD42" s="401">
        <f>CAPEX!AE33</f>
        <v>0.86500000000000021</v>
      </c>
      <c r="AE42" s="402">
        <f>CAPEX!AF33</f>
        <v>0.37</v>
      </c>
      <c r="AF42" s="1"/>
      <c r="AG42" s="115">
        <f>CAPEX!AG33</f>
        <v>0.76600000000000013</v>
      </c>
    </row>
    <row r="43" spans="2:33" ht="27" x14ac:dyDescent="0.25">
      <c r="B43" s="380">
        <v>33</v>
      </c>
      <c r="C43" s="370" t="str">
        <f>CAPEX!F34</f>
        <v>SuKarne</v>
      </c>
      <c r="D43" s="371" t="str">
        <f>CAPEX!E34</f>
        <v>CFV Quasara</v>
      </c>
      <c r="E43" s="370" t="str">
        <f>CAPEX!AD34</f>
        <v>Mexicali</v>
      </c>
      <c r="F43" s="371" t="str">
        <f>CAPEX!AC34</f>
        <v xml:space="preserve"> Baja California</v>
      </c>
      <c r="G43" s="387" t="str">
        <f>CAPEX!G34</f>
        <v>Fotovoltaica</v>
      </c>
      <c r="H43" s="168" t="str">
        <f>CAPEX!K34</f>
        <v>150 MW + 30% BESS</v>
      </c>
      <c r="I43" s="372">
        <f>CAPEX!M34</f>
        <v>46447</v>
      </c>
      <c r="J43" s="169">
        <f>CAPEX!N34</f>
        <v>47119</v>
      </c>
      <c r="K43" s="170">
        <f>CAPEX!AH34</f>
        <v>0.8</v>
      </c>
      <c r="L43" s="373">
        <f>CAPEX!AI34</f>
        <v>0</v>
      </c>
      <c r="M43" s="171">
        <f>CAPEX!AJ34</f>
        <v>1</v>
      </c>
      <c r="N43" s="170">
        <f>CAPEX!AK34</f>
        <v>0</v>
      </c>
      <c r="O43" s="373">
        <f>CAPEX!AL34</f>
        <v>0</v>
      </c>
      <c r="P43" s="373">
        <f>CAPEX!AM34</f>
        <v>0</v>
      </c>
      <c r="Q43" s="171">
        <f>CAPEX!AN34</f>
        <v>1</v>
      </c>
      <c r="R43" s="170">
        <f>CAPEX!AO34</f>
        <v>0</v>
      </c>
      <c r="S43" s="373">
        <f>CAPEX!AP34</f>
        <v>0</v>
      </c>
      <c r="T43" s="171">
        <f>CAPEX!AQ34</f>
        <v>1</v>
      </c>
      <c r="U43" s="390">
        <f>CAPEX!AR34</f>
        <v>0.5</v>
      </c>
      <c r="V43" s="373">
        <f>CAPEX!AS34</f>
        <v>0</v>
      </c>
      <c r="W43" s="373">
        <f>CAPEX!AT34</f>
        <v>0.5</v>
      </c>
      <c r="X43" s="373">
        <f>CAPEX!AU34</f>
        <v>0.5</v>
      </c>
      <c r="Y43" s="373">
        <f>CAPEX!AV34</f>
        <v>0.5</v>
      </c>
      <c r="Z43" s="373">
        <f>CAPEX!AW34</f>
        <v>0.5</v>
      </c>
      <c r="AA43" s="373">
        <f>CAPEX!AX34</f>
        <v>0</v>
      </c>
      <c r="AB43" s="171">
        <f>CAPEX!AY34</f>
        <v>0</v>
      </c>
      <c r="AC43" s="1"/>
      <c r="AD43" s="401">
        <f>CAPEX!AE34</f>
        <v>0.35500000000000009</v>
      </c>
      <c r="AE43" s="402">
        <f>CAPEX!AF34</f>
        <v>0.35000000000000009</v>
      </c>
      <c r="AF43" s="1"/>
      <c r="AG43" s="115">
        <f>CAPEX!AG34</f>
        <v>0.35400000000000009</v>
      </c>
    </row>
    <row r="44" spans="2:33" ht="27" x14ac:dyDescent="0.25">
      <c r="B44" s="380">
        <v>34</v>
      </c>
      <c r="C44" s="370" t="str">
        <f>CAPEX!F35</f>
        <v>Enhol &amp; GEMEX [Terralia]</v>
      </c>
      <c r="D44" s="371" t="str">
        <f>CAPEX!E35</f>
        <v>Sierra Madre (El Chorro) (*)</v>
      </c>
      <c r="E44" s="370" t="str">
        <f>CAPEX!AD35</f>
        <v>Villa de Casas y Güemes</v>
      </c>
      <c r="F44" s="371" t="str">
        <f>CAPEX!AC35</f>
        <v xml:space="preserve"> Tamaulipas</v>
      </c>
      <c r="G44" s="387" t="str">
        <f>CAPEX!G35</f>
        <v>Eólica</v>
      </c>
      <c r="H44" s="168" t="str">
        <f>CAPEX!K35</f>
        <v>580 MW + 30% BESS</v>
      </c>
      <c r="I44" s="372" t="str">
        <f>CAPEX!M35</f>
        <v>SIN DATO</v>
      </c>
      <c r="J44" s="169" t="str">
        <f>CAPEX!N35</f>
        <v>SIN DATO</v>
      </c>
      <c r="K44" s="170">
        <f>CAPEX!AH35</f>
        <v>0.3</v>
      </c>
      <c r="L44" s="373">
        <f>CAPEX!AI35</f>
        <v>0</v>
      </c>
      <c r="M44" s="171">
        <f>CAPEX!AJ35</f>
        <v>0</v>
      </c>
      <c r="N44" s="170">
        <f>CAPEX!AK35</f>
        <v>0</v>
      </c>
      <c r="O44" s="373">
        <f>CAPEX!AL35</f>
        <v>0</v>
      </c>
      <c r="P44" s="373">
        <f>CAPEX!AM35</f>
        <v>0</v>
      </c>
      <c r="Q44" s="171">
        <f>CAPEX!AN35</f>
        <v>0</v>
      </c>
      <c r="R44" s="170">
        <f>CAPEX!AO35</f>
        <v>0</v>
      </c>
      <c r="S44" s="373">
        <f>CAPEX!AP35</f>
        <v>0</v>
      </c>
      <c r="T44" s="171">
        <f>CAPEX!AQ35</f>
        <v>0</v>
      </c>
      <c r="U44" s="390">
        <f>CAPEX!AR35</f>
        <v>0</v>
      </c>
      <c r="V44" s="373">
        <f>CAPEX!AS35</f>
        <v>0</v>
      </c>
      <c r="W44" s="373">
        <f>CAPEX!AT35</f>
        <v>0</v>
      </c>
      <c r="X44" s="373">
        <f>CAPEX!AU35</f>
        <v>0</v>
      </c>
      <c r="Y44" s="373">
        <f>CAPEX!AV35</f>
        <v>0</v>
      </c>
      <c r="Z44" s="373">
        <f>CAPEX!AW35</f>
        <v>0</v>
      </c>
      <c r="AA44" s="373">
        <f>CAPEX!AX35</f>
        <v>0</v>
      </c>
      <c r="AB44" s="171">
        <f>CAPEX!AY35</f>
        <v>0</v>
      </c>
      <c r="AC44" s="1"/>
      <c r="AD44" s="401">
        <f>CAPEX!AE35</f>
        <v>0.03</v>
      </c>
      <c r="AE44" s="402">
        <f>CAPEX!AF35</f>
        <v>0</v>
      </c>
      <c r="AF44" s="1"/>
      <c r="AG44" s="115">
        <f>CAPEX!AG35</f>
        <v>2.4E-2</v>
      </c>
    </row>
    <row r="45" spans="2:33" ht="27" x14ac:dyDescent="0.25">
      <c r="B45" s="380">
        <v>35</v>
      </c>
      <c r="C45" s="370" t="str">
        <f>CAPEX!F36</f>
        <v>Thermion</v>
      </c>
      <c r="D45" s="371" t="str">
        <f>CAPEX!E36</f>
        <v>Delaro (*)</v>
      </c>
      <c r="E45" s="370" t="str">
        <f>CAPEX!AD36</f>
        <v>Reynosa</v>
      </c>
      <c r="F45" s="371" t="str">
        <f>CAPEX!AC36</f>
        <v xml:space="preserve"> Tamaulipas</v>
      </c>
      <c r="G45" s="387" t="str">
        <f>CAPEX!G36</f>
        <v>Eólica</v>
      </c>
      <c r="H45" s="168" t="str">
        <f>CAPEX!K36</f>
        <v>117 MW + 30% BESS</v>
      </c>
      <c r="I45" s="372" t="str">
        <f>CAPEX!M36</f>
        <v>SIN DATO</v>
      </c>
      <c r="J45" s="169" t="str">
        <f>CAPEX!N36</f>
        <v>SIN DATO</v>
      </c>
      <c r="K45" s="170">
        <f>CAPEX!AH36</f>
        <v>1</v>
      </c>
      <c r="L45" s="373">
        <f>CAPEX!AI36</f>
        <v>1</v>
      </c>
      <c r="M45" s="171">
        <f>CAPEX!AJ36</f>
        <v>1</v>
      </c>
      <c r="N45" s="170">
        <f>CAPEX!AK36</f>
        <v>0.9</v>
      </c>
      <c r="O45" s="373">
        <f>CAPEX!AL36</f>
        <v>0.9</v>
      </c>
      <c r="P45" s="373">
        <f>CAPEX!AM36</f>
        <v>1</v>
      </c>
      <c r="Q45" s="171">
        <f>CAPEX!AN36</f>
        <v>1</v>
      </c>
      <c r="R45" s="170">
        <f>CAPEX!AO36</f>
        <v>0.8</v>
      </c>
      <c r="S45" s="373">
        <f>CAPEX!AP36</f>
        <v>0.8</v>
      </c>
      <c r="T45" s="171">
        <f>CAPEX!AQ36</f>
        <v>1</v>
      </c>
      <c r="U45" s="390">
        <f>CAPEX!AR36</f>
        <v>0.8</v>
      </c>
      <c r="V45" s="373">
        <f>CAPEX!AS36</f>
        <v>0.8</v>
      </c>
      <c r="W45" s="373">
        <f>CAPEX!AT36</f>
        <v>0.5</v>
      </c>
      <c r="X45" s="373">
        <f>CAPEX!AU36</f>
        <v>0.5</v>
      </c>
      <c r="Y45" s="373">
        <f>CAPEX!AV36</f>
        <v>0.5</v>
      </c>
      <c r="Z45" s="373">
        <f>CAPEX!AW36</f>
        <v>0.5</v>
      </c>
      <c r="AA45" s="373">
        <f>CAPEX!AX36</f>
        <v>0</v>
      </c>
      <c r="AB45" s="171">
        <f>CAPEX!AY36</f>
        <v>0</v>
      </c>
      <c r="AC45" s="1"/>
      <c r="AD45" s="401">
        <f>CAPEX!AE36</f>
        <v>0.83000000000000007</v>
      </c>
      <c r="AE45" s="402">
        <f>CAPEX!AF36</f>
        <v>0.83000000000000007</v>
      </c>
      <c r="AF45" s="1"/>
      <c r="AG45" s="115">
        <f>CAPEX!AG36</f>
        <v>0.83000000000000018</v>
      </c>
    </row>
    <row r="46" spans="2:33" ht="27" x14ac:dyDescent="0.25">
      <c r="B46" s="380">
        <v>36</v>
      </c>
      <c r="C46" s="370" t="str">
        <f>CAPEX!F37</f>
        <v>Thermion</v>
      </c>
      <c r="D46" s="371" t="str">
        <f>CAPEX!E37</f>
        <v>El Guajillo</v>
      </c>
      <c r="E46" s="370" t="str">
        <f>CAPEX!AD37</f>
        <v>Reynosa</v>
      </c>
      <c r="F46" s="371" t="str">
        <f>CAPEX!AC37</f>
        <v xml:space="preserve"> Tamaulipas</v>
      </c>
      <c r="G46" s="387" t="str">
        <f>CAPEX!G37</f>
        <v>Eólica</v>
      </c>
      <c r="H46" s="168" t="str">
        <f>CAPEX!K37</f>
        <v>468 MW + 30% BESS</v>
      </c>
      <c r="I46" s="372">
        <f>CAPEX!M37</f>
        <v>46376</v>
      </c>
      <c r="J46" s="169">
        <f>CAPEX!N37</f>
        <v>47088</v>
      </c>
      <c r="K46" s="170">
        <f>CAPEX!AH37</f>
        <v>0.6</v>
      </c>
      <c r="L46" s="373">
        <f>CAPEX!AI37</f>
        <v>0.5</v>
      </c>
      <c r="M46" s="171">
        <f>CAPEX!AJ37</f>
        <v>1</v>
      </c>
      <c r="N46" s="170">
        <f>CAPEX!AK37</f>
        <v>0</v>
      </c>
      <c r="O46" s="373">
        <f>CAPEX!AL37</f>
        <v>0</v>
      </c>
      <c r="P46" s="373">
        <f>CAPEX!AM37</f>
        <v>0</v>
      </c>
      <c r="Q46" s="171">
        <f>CAPEX!AN37</f>
        <v>0</v>
      </c>
      <c r="R46" s="170">
        <f>CAPEX!AO37</f>
        <v>0</v>
      </c>
      <c r="S46" s="373">
        <f>CAPEX!AP37</f>
        <v>0</v>
      </c>
      <c r="T46" s="171">
        <f>CAPEX!AQ37</f>
        <v>1</v>
      </c>
      <c r="U46" s="390">
        <f>CAPEX!AR37</f>
        <v>0.5</v>
      </c>
      <c r="V46" s="373">
        <f>CAPEX!AS37</f>
        <v>0</v>
      </c>
      <c r="W46" s="373">
        <f>CAPEX!AT37</f>
        <v>0.5</v>
      </c>
      <c r="X46" s="373">
        <f>CAPEX!AU37</f>
        <v>0</v>
      </c>
      <c r="Y46" s="373">
        <f>CAPEX!AV37</f>
        <v>0.5</v>
      </c>
      <c r="Z46" s="373">
        <f>CAPEX!AW37</f>
        <v>0</v>
      </c>
      <c r="AA46" s="373">
        <f>CAPEX!AX37</f>
        <v>0</v>
      </c>
      <c r="AB46" s="171">
        <f>CAPEX!AY37</f>
        <v>0</v>
      </c>
      <c r="AC46" s="1"/>
      <c r="AD46" s="401">
        <f>CAPEX!AE37</f>
        <v>0.33500000000000008</v>
      </c>
      <c r="AE46" s="402">
        <f>CAPEX!AF37</f>
        <v>0.25</v>
      </c>
      <c r="AF46" s="1"/>
      <c r="AG46" s="115">
        <f>CAPEX!AG37</f>
        <v>0.31800000000000006</v>
      </c>
    </row>
    <row r="47" spans="2:33" ht="27" x14ac:dyDescent="0.25">
      <c r="B47" s="380">
        <v>37</v>
      </c>
      <c r="C47" s="370" t="str">
        <f>CAPEX!F38</f>
        <v>Thermion</v>
      </c>
      <c r="D47" s="371" t="str">
        <f>CAPEX!E38</f>
        <v>Los Molinos</v>
      </c>
      <c r="E47" s="370" t="str">
        <f>CAPEX!AD38</f>
        <v>Matamoros</v>
      </c>
      <c r="F47" s="371" t="str">
        <f>CAPEX!AC38</f>
        <v xml:space="preserve"> Tamaulipas</v>
      </c>
      <c r="G47" s="387" t="str">
        <f>CAPEX!G38</f>
        <v>Eólica</v>
      </c>
      <c r="H47" s="168" t="str">
        <f>CAPEX!K38</f>
        <v>171 MW + 30% BESS</v>
      </c>
      <c r="I47" s="372">
        <f>CAPEX!M38</f>
        <v>46371</v>
      </c>
      <c r="J47" s="169">
        <f>CAPEX!N38</f>
        <v>47088</v>
      </c>
      <c r="K47" s="170">
        <f>CAPEX!AH38</f>
        <v>1</v>
      </c>
      <c r="L47" s="373">
        <f>CAPEX!AI38</f>
        <v>1</v>
      </c>
      <c r="M47" s="171">
        <f>CAPEX!AJ38</f>
        <v>0.9</v>
      </c>
      <c r="N47" s="170">
        <f>CAPEX!AK38</f>
        <v>0.9</v>
      </c>
      <c r="O47" s="373">
        <f>CAPEX!AL38</f>
        <v>0.9</v>
      </c>
      <c r="P47" s="373">
        <f>CAPEX!AM38</f>
        <v>0.8</v>
      </c>
      <c r="Q47" s="171">
        <f>CAPEX!AN38</f>
        <v>0.8</v>
      </c>
      <c r="R47" s="170">
        <f>CAPEX!AO38</f>
        <v>0.8</v>
      </c>
      <c r="S47" s="373">
        <f>CAPEX!AP38</f>
        <v>0.8</v>
      </c>
      <c r="T47" s="171">
        <f>CAPEX!AQ38</f>
        <v>1</v>
      </c>
      <c r="U47" s="390">
        <f>CAPEX!AR38</f>
        <v>0.9</v>
      </c>
      <c r="V47" s="373">
        <f>CAPEX!AS38</f>
        <v>0.9</v>
      </c>
      <c r="W47" s="373">
        <f>CAPEX!AT38</f>
        <v>1</v>
      </c>
      <c r="X47" s="373">
        <f>CAPEX!AU38</f>
        <v>1</v>
      </c>
      <c r="Y47" s="373">
        <f>CAPEX!AV38</f>
        <v>0.5</v>
      </c>
      <c r="Z47" s="373">
        <f>CAPEX!AW38</f>
        <v>0.5</v>
      </c>
      <c r="AA47" s="373">
        <f>CAPEX!AX38</f>
        <v>0.5</v>
      </c>
      <c r="AB47" s="171">
        <f>CAPEX!AY38</f>
        <v>0.5</v>
      </c>
      <c r="AC47" s="1"/>
      <c r="AD47" s="401">
        <f>CAPEX!AE38</f>
        <v>0.8550000000000002</v>
      </c>
      <c r="AE47" s="402">
        <f>CAPEX!AF38</f>
        <v>0.8550000000000002</v>
      </c>
      <c r="AF47" s="1"/>
      <c r="AG47" s="115">
        <f>CAPEX!AG38</f>
        <v>0.8550000000000002</v>
      </c>
    </row>
    <row r="48" spans="2:33" ht="27" x14ac:dyDescent="0.25">
      <c r="B48" s="380">
        <v>38</v>
      </c>
      <c r="C48" s="370" t="str">
        <f>CAPEX!F39</f>
        <v>Thermion</v>
      </c>
      <c r="D48" s="371" t="str">
        <f>CAPEX!E39</f>
        <v>Montecristo</v>
      </c>
      <c r="E48" s="370" t="str">
        <f>CAPEX!AD39</f>
        <v>Méndez</v>
      </c>
      <c r="F48" s="371" t="str">
        <f>CAPEX!AC39</f>
        <v xml:space="preserve"> Tamaulipas</v>
      </c>
      <c r="G48" s="387" t="str">
        <f>CAPEX!G39</f>
        <v>Eólica</v>
      </c>
      <c r="H48" s="168" t="str">
        <f>CAPEX!K39</f>
        <v>510 MW + 30% BESS</v>
      </c>
      <c r="I48" s="372">
        <f>CAPEX!M39</f>
        <v>46376</v>
      </c>
      <c r="J48" s="169">
        <f>CAPEX!N39</f>
        <v>47088</v>
      </c>
      <c r="K48" s="170">
        <f>CAPEX!AH39</f>
        <v>0.9</v>
      </c>
      <c r="L48" s="373">
        <f>CAPEX!AI39</f>
        <v>0.5</v>
      </c>
      <c r="M48" s="171">
        <f>CAPEX!AJ39</f>
        <v>1</v>
      </c>
      <c r="N48" s="170">
        <f>CAPEX!AK39</f>
        <v>0.5</v>
      </c>
      <c r="O48" s="373">
        <f>CAPEX!AL39</f>
        <v>0</v>
      </c>
      <c r="P48" s="373">
        <f>CAPEX!AM39</f>
        <v>0</v>
      </c>
      <c r="Q48" s="171">
        <f>CAPEX!AN39</f>
        <v>0</v>
      </c>
      <c r="R48" s="170">
        <f>CAPEX!AO39</f>
        <v>0</v>
      </c>
      <c r="S48" s="373">
        <f>CAPEX!AP39</f>
        <v>0</v>
      </c>
      <c r="T48" s="171">
        <f>CAPEX!AQ39</f>
        <v>1</v>
      </c>
      <c r="U48" s="390">
        <f>CAPEX!AR39</f>
        <v>0.5</v>
      </c>
      <c r="V48" s="373">
        <f>CAPEX!AS39</f>
        <v>0</v>
      </c>
      <c r="W48" s="373">
        <f>CAPEX!AT39</f>
        <v>0.5</v>
      </c>
      <c r="X48" s="373">
        <f>CAPEX!AU39</f>
        <v>0</v>
      </c>
      <c r="Y48" s="373">
        <f>CAPEX!AV39</f>
        <v>0</v>
      </c>
      <c r="Z48" s="373">
        <f>CAPEX!AW39</f>
        <v>0</v>
      </c>
      <c r="AA48" s="373">
        <f>CAPEX!AX39</f>
        <v>0</v>
      </c>
      <c r="AB48" s="171">
        <f>CAPEX!AY39</f>
        <v>0</v>
      </c>
      <c r="AC48" s="1"/>
      <c r="AD48" s="401">
        <f>CAPEX!AE39</f>
        <v>0.44000000000000006</v>
      </c>
      <c r="AE48" s="402">
        <f>CAPEX!AF39</f>
        <v>0.25</v>
      </c>
      <c r="AF48" s="1"/>
      <c r="AG48" s="115">
        <f>CAPEX!AG39</f>
        <v>0.40200000000000008</v>
      </c>
    </row>
    <row r="49" spans="2:33" ht="27" x14ac:dyDescent="0.25">
      <c r="B49" s="380">
        <v>39</v>
      </c>
      <c r="C49" s="370" t="str">
        <f>CAPEX!F40</f>
        <v>Thermion</v>
      </c>
      <c r="D49" s="371" t="str">
        <f>CAPEX!E40</f>
        <v>Santa Gertrudis</v>
      </c>
      <c r="E49" s="370" t="str">
        <f>CAPEX!AD40</f>
        <v>Méndez</v>
      </c>
      <c r="F49" s="371" t="str">
        <f>CAPEX!AC40</f>
        <v xml:space="preserve"> Tamaulipas</v>
      </c>
      <c r="G49" s="387" t="str">
        <f>CAPEX!G40</f>
        <v>Eólica</v>
      </c>
      <c r="H49" s="168" t="str">
        <f>CAPEX!K40</f>
        <v>503 MW + 30% BESS</v>
      </c>
      <c r="I49" s="372">
        <f>CAPEX!M40</f>
        <v>46376</v>
      </c>
      <c r="J49" s="169">
        <f>CAPEX!N40</f>
        <v>47088</v>
      </c>
      <c r="K49" s="170">
        <f>CAPEX!AH40</f>
        <v>0.8</v>
      </c>
      <c r="L49" s="373">
        <f>CAPEX!AI40</f>
        <v>0.5</v>
      </c>
      <c r="M49" s="171">
        <f>CAPEX!AJ40</f>
        <v>1</v>
      </c>
      <c r="N49" s="170">
        <f>CAPEX!AK40</f>
        <v>0.5</v>
      </c>
      <c r="O49" s="373">
        <f>CAPEX!AL40</f>
        <v>0</v>
      </c>
      <c r="P49" s="373">
        <f>CAPEX!AM40</f>
        <v>0</v>
      </c>
      <c r="Q49" s="171">
        <f>CAPEX!AN40</f>
        <v>0</v>
      </c>
      <c r="R49" s="170">
        <f>CAPEX!AO40</f>
        <v>0.5</v>
      </c>
      <c r="S49" s="373">
        <f>CAPEX!AP40</f>
        <v>0</v>
      </c>
      <c r="T49" s="171">
        <f>CAPEX!AQ40</f>
        <v>1</v>
      </c>
      <c r="U49" s="390">
        <f>CAPEX!AR40</f>
        <v>0.5</v>
      </c>
      <c r="V49" s="373">
        <f>CAPEX!AS40</f>
        <v>0</v>
      </c>
      <c r="W49" s="373">
        <f>CAPEX!AT40</f>
        <v>0.5</v>
      </c>
      <c r="X49" s="373">
        <f>CAPEX!AU40</f>
        <v>0</v>
      </c>
      <c r="Y49" s="373">
        <f>CAPEX!AV40</f>
        <v>0.5</v>
      </c>
      <c r="Z49" s="373">
        <f>CAPEX!AW40</f>
        <v>0.5</v>
      </c>
      <c r="AA49" s="373">
        <f>CAPEX!AX40</f>
        <v>0</v>
      </c>
      <c r="AB49" s="171">
        <f>CAPEX!AY40</f>
        <v>0</v>
      </c>
      <c r="AC49" s="1"/>
      <c r="AD49" s="401">
        <f>CAPEX!AE40</f>
        <v>0.55500000000000005</v>
      </c>
      <c r="AE49" s="402">
        <f>CAPEX!AF40</f>
        <v>0.27500000000000002</v>
      </c>
      <c r="AF49" s="1"/>
      <c r="AG49" s="115">
        <f>CAPEX!AG40</f>
        <v>0.49900000000000005</v>
      </c>
    </row>
    <row r="50" spans="2:33" ht="27.75" thickBot="1" x14ac:dyDescent="0.3">
      <c r="B50" s="381">
        <v>40</v>
      </c>
      <c r="C50" s="382" t="str">
        <f>CAPEX!F41</f>
        <v>Thermion</v>
      </c>
      <c r="D50" s="383" t="str">
        <f>CAPEX!E41</f>
        <v>Sol de Sonora 70</v>
      </c>
      <c r="E50" s="382" t="str">
        <f>CAPEX!AD41</f>
        <v>Hermosillo</v>
      </c>
      <c r="F50" s="383" t="str">
        <f>CAPEX!AC41</f>
        <v xml:space="preserve"> Sonora</v>
      </c>
      <c r="G50" s="388" t="str">
        <f>CAPEX!G41</f>
        <v>Fotovoltaica</v>
      </c>
      <c r="H50" s="393" t="str">
        <f>CAPEX!K41</f>
        <v>70 MW + 31.43% BESS</v>
      </c>
      <c r="I50" s="384">
        <f>CAPEX!M41</f>
        <v>46357</v>
      </c>
      <c r="J50" s="172">
        <f>CAPEX!N41</f>
        <v>46844</v>
      </c>
      <c r="K50" s="173">
        <f>CAPEX!AH41</f>
        <v>1</v>
      </c>
      <c r="L50" s="385">
        <f>CAPEX!AI41</f>
        <v>1</v>
      </c>
      <c r="M50" s="174">
        <f>CAPEX!AJ41</f>
        <v>1</v>
      </c>
      <c r="N50" s="173">
        <f>CAPEX!AK41</f>
        <v>0.8</v>
      </c>
      <c r="O50" s="385">
        <f>CAPEX!AL41</f>
        <v>0.8</v>
      </c>
      <c r="P50" s="385">
        <f>CAPEX!AM41</f>
        <v>0.8</v>
      </c>
      <c r="Q50" s="174">
        <f>CAPEX!AN41</f>
        <v>0.8</v>
      </c>
      <c r="R50" s="173">
        <f>CAPEX!AO41</f>
        <v>0.8</v>
      </c>
      <c r="S50" s="385">
        <f>CAPEX!AP41</f>
        <v>0.8</v>
      </c>
      <c r="T50" s="174">
        <f>CAPEX!AQ41</f>
        <v>1</v>
      </c>
      <c r="U50" s="391">
        <f>CAPEX!AR41</f>
        <v>0.9</v>
      </c>
      <c r="V50" s="385">
        <f>CAPEX!AS41</f>
        <v>0.9</v>
      </c>
      <c r="W50" s="385">
        <f>CAPEX!AT41</f>
        <v>0.5</v>
      </c>
      <c r="X50" s="385">
        <f>CAPEX!AU41</f>
        <v>0.5</v>
      </c>
      <c r="Y50" s="385">
        <f>CAPEX!AV41</f>
        <v>0.5</v>
      </c>
      <c r="Z50" s="385">
        <f>CAPEX!AW41</f>
        <v>0.5</v>
      </c>
      <c r="AA50" s="385">
        <f>CAPEX!AX41</f>
        <v>0.5</v>
      </c>
      <c r="AB50" s="174">
        <f>CAPEX!AY41</f>
        <v>0.5</v>
      </c>
      <c r="AC50" s="1"/>
      <c r="AD50" s="403">
        <f>CAPEX!AE41</f>
        <v>0.82000000000000017</v>
      </c>
      <c r="AE50" s="404">
        <f>CAPEX!AF41</f>
        <v>0.82000000000000017</v>
      </c>
      <c r="AF50" s="1"/>
      <c r="AG50" s="166">
        <f>CAPEX!AG41</f>
        <v>0.82000000000000017</v>
      </c>
    </row>
    <row r="51" spans="2:33" x14ac:dyDescent="0.25">
      <c r="K51" s="360" t="s">
        <v>188</v>
      </c>
      <c r="L51" s="361"/>
      <c r="M51" s="362" t="s">
        <v>189</v>
      </c>
      <c r="N51" s="363" t="s">
        <v>188</v>
      </c>
      <c r="O51" s="364"/>
      <c r="P51" s="364"/>
      <c r="Q51" s="365"/>
      <c r="R51" s="363" t="s">
        <v>188</v>
      </c>
      <c r="S51" s="364"/>
      <c r="T51" s="366" t="s">
        <v>189</v>
      </c>
      <c r="U51" s="360" t="s">
        <v>188</v>
      </c>
      <c r="V51" s="367"/>
      <c r="W51" s="361" t="s">
        <v>188</v>
      </c>
      <c r="X51" s="361"/>
      <c r="Y51" s="368" t="s">
        <v>188</v>
      </c>
      <c r="Z51" s="367"/>
      <c r="AA51" s="361" t="s">
        <v>188</v>
      </c>
      <c r="AB51" s="369"/>
      <c r="AC51" s="6"/>
      <c r="AD51" s="397" t="s">
        <v>189</v>
      </c>
      <c r="AE51" s="398" t="s">
        <v>189</v>
      </c>
      <c r="AF51" s="6"/>
      <c r="AG51" s="6"/>
    </row>
    <row r="52" spans="2:33" ht="14.25" thickBot="1" x14ac:dyDescent="0.3">
      <c r="K52" s="350">
        <v>0.1</v>
      </c>
      <c r="L52" s="351"/>
      <c r="M52" s="27">
        <v>0.1</v>
      </c>
      <c r="N52" s="329">
        <v>0.2</v>
      </c>
      <c r="O52" s="330"/>
      <c r="P52" s="331">
        <v>0.1</v>
      </c>
      <c r="Q52" s="332"/>
      <c r="R52" s="329">
        <v>0.2</v>
      </c>
      <c r="S52" s="330"/>
      <c r="T52" s="28">
        <v>0.1</v>
      </c>
      <c r="U52" s="350">
        <v>0.05</v>
      </c>
      <c r="V52" s="347"/>
      <c r="W52" s="348">
        <v>0.05</v>
      </c>
      <c r="X52" s="351"/>
      <c r="Y52" s="346">
        <v>0.05</v>
      </c>
      <c r="Z52" s="347"/>
      <c r="AA52" s="348">
        <v>0.05</v>
      </c>
      <c r="AB52" s="349"/>
      <c r="AC52" s="6"/>
      <c r="AD52" s="8">
        <v>0.8</v>
      </c>
      <c r="AE52" s="7">
        <v>0.2</v>
      </c>
      <c r="AF52" s="6"/>
      <c r="AG52" s="6"/>
    </row>
    <row r="54" spans="2:33" x14ac:dyDescent="0.25">
      <c r="D54" s="55" t="s">
        <v>35</v>
      </c>
      <c r="E54" s="29" t="s">
        <v>190</v>
      </c>
    </row>
    <row r="55" spans="2:33" x14ac:dyDescent="0.25">
      <c r="D55" s="55" t="s">
        <v>38</v>
      </c>
      <c r="E55" s="29" t="s">
        <v>191</v>
      </c>
    </row>
    <row r="56" spans="2:33" x14ac:dyDescent="0.25">
      <c r="D56" s="54"/>
    </row>
    <row r="95" spans="30:30" x14ac:dyDescent="0.25">
      <c r="AD95" s="98">
        <v>0</v>
      </c>
    </row>
    <row r="96" spans="30:30" x14ac:dyDescent="0.25">
      <c r="AD96" s="98">
        <v>1</v>
      </c>
    </row>
  </sheetData>
  <mergeCells count="43">
    <mergeCell ref="G5:AB6"/>
    <mergeCell ref="AD2:AE6"/>
    <mergeCell ref="AG2:AG6"/>
    <mergeCell ref="Y51:Z51"/>
    <mergeCell ref="Y52:Z52"/>
    <mergeCell ref="AA51:AB51"/>
    <mergeCell ref="AA52:AB52"/>
    <mergeCell ref="R51:S51"/>
    <mergeCell ref="R52:S52"/>
    <mergeCell ref="U51:V51"/>
    <mergeCell ref="U52:V52"/>
    <mergeCell ref="W51:X51"/>
    <mergeCell ref="W52:X52"/>
    <mergeCell ref="K51:L51"/>
    <mergeCell ref="K52:L52"/>
    <mergeCell ref="N51:Q51"/>
    <mergeCell ref="N52:O52"/>
    <mergeCell ref="P52:Q52"/>
    <mergeCell ref="W9:X9"/>
    <mergeCell ref="Y9:Z9"/>
    <mergeCell ref="AA9:AB9"/>
    <mergeCell ref="AD8:AD10"/>
    <mergeCell ref="AE8:AE10"/>
    <mergeCell ref="AG8:AG10"/>
    <mergeCell ref="R8:T8"/>
    <mergeCell ref="T9:T10"/>
    <mergeCell ref="U9:V9"/>
    <mergeCell ref="R9:S9"/>
    <mergeCell ref="B8:B10"/>
    <mergeCell ref="C8:C10"/>
    <mergeCell ref="D8:D10"/>
    <mergeCell ref="E8:E10"/>
    <mergeCell ref="F8:F10"/>
    <mergeCell ref="G8:G10"/>
    <mergeCell ref="U8:AB8"/>
    <mergeCell ref="N8:Q8"/>
    <mergeCell ref="N9:O9"/>
    <mergeCell ref="P9:Q9"/>
    <mergeCell ref="K8:L9"/>
    <mergeCell ref="M8:M10"/>
    <mergeCell ref="H8:H10"/>
    <mergeCell ref="I8:I10"/>
    <mergeCell ref="J8:J10"/>
  </mergeCells>
  <conditionalFormatting sqref="AD53:AD1048576 AD1:AD51">
    <cfRule type="iconSet" priority="1">
      <iconSet>
        <cfvo type="percent" val="0"/>
        <cfvo type="percent" val="76"/>
        <cfvo type="percent" val="85"/>
      </iconSet>
    </cfRule>
  </conditionalFormatting>
  <printOptions horizontalCentered="1" verticalCentered="1"/>
  <pageMargins left="0.19685039370078741" right="0.19685039370078741" top="0.39370078740157483" bottom="0.39370078740157483" header="0" footer="0"/>
  <pageSetup paperSize="3" scale="5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78D9-47D9-4EBC-8BEA-A91BF1F0B98F}">
  <dimension ref="A1:BQ53"/>
  <sheetViews>
    <sheetView tabSelected="1" topLeftCell="F1" zoomScaleNormal="100" workbookViewId="0">
      <selection activeCell="N2" sqref="N2"/>
    </sheetView>
  </sheetViews>
  <sheetFormatPr baseColWidth="10" defaultColWidth="11.42578125" defaultRowHeight="15" x14ac:dyDescent="0.25"/>
  <cols>
    <col min="1" max="1" width="9" style="144" bestFit="1" customWidth="1"/>
    <col min="2" max="2" width="12.5703125" style="144" bestFit="1" customWidth="1"/>
    <col min="3" max="4" width="47.85546875" style="144" bestFit="1" customWidth="1"/>
    <col min="5" max="5" width="47.28515625" style="144" bestFit="1" customWidth="1"/>
    <col min="6" max="6" width="23.28515625" style="144" bestFit="1" customWidth="1"/>
    <col min="7" max="7" width="15.140625" style="144" bestFit="1" customWidth="1"/>
    <col min="8" max="8" width="33.7109375" style="144" bestFit="1" customWidth="1"/>
    <col min="9" max="9" width="25.140625" style="144" bestFit="1" customWidth="1"/>
    <col min="10" max="10" width="37.5703125" style="144" bestFit="1" customWidth="1"/>
    <col min="11" max="11" width="41.5703125" style="144" bestFit="1" customWidth="1"/>
    <col min="12" max="12" width="29.140625" style="144" bestFit="1" customWidth="1"/>
    <col min="13" max="13" width="22" style="145" bestFit="1" customWidth="1"/>
    <col min="14" max="14" width="23" style="145" bestFit="1" customWidth="1"/>
    <col min="15" max="15" width="29.5703125" style="145" bestFit="1" customWidth="1"/>
    <col min="16" max="16" width="17.85546875" style="128" customWidth="1"/>
    <col min="17" max="17" width="11.5703125" style="128" bestFit="1" customWidth="1"/>
    <col min="18" max="18" width="57.28515625" style="144" bestFit="1" customWidth="1"/>
    <col min="19" max="19" width="19.140625" style="144" bestFit="1" customWidth="1"/>
    <col min="20" max="20" width="21.42578125" style="147" bestFit="1" customWidth="1"/>
    <col min="21" max="21" width="17.28515625" style="147" customWidth="1"/>
    <col min="22" max="22" width="15.5703125" style="144" bestFit="1" customWidth="1"/>
    <col min="23" max="23" width="17.85546875" style="144" bestFit="1" customWidth="1"/>
    <col min="24" max="24" width="17.28515625" style="128" customWidth="1"/>
    <col min="25" max="25" width="17.5703125" style="128" bestFit="1" customWidth="1"/>
    <col min="26" max="26" width="24.85546875" style="128" bestFit="1" customWidth="1"/>
    <col min="27" max="27" width="20.28515625" style="144" customWidth="1"/>
    <col min="28" max="28" width="26.5703125" style="144" bestFit="1" customWidth="1"/>
    <col min="29" max="29" width="17.5703125" style="128" bestFit="1" customWidth="1"/>
    <col min="30" max="30" width="22.42578125" style="144" bestFit="1" customWidth="1"/>
    <col min="31" max="31" width="11.85546875" style="128" bestFit="1" customWidth="1"/>
    <col min="32" max="32" width="7.42578125" style="128" bestFit="1" customWidth="1"/>
    <col min="33" max="33" width="11.42578125" style="128" bestFit="1" customWidth="1"/>
    <col min="34" max="34" width="9.5703125" style="128" bestFit="1" customWidth="1"/>
    <col min="35" max="35" width="10.28515625" style="128" bestFit="1" customWidth="1"/>
    <col min="36" max="36" width="11.5703125" style="128" bestFit="1" customWidth="1"/>
    <col min="37" max="37" width="13.7109375" style="128" bestFit="1" customWidth="1"/>
    <col min="38" max="38" width="14.42578125" style="128" bestFit="1" customWidth="1"/>
    <col min="39" max="39" width="12.7109375" style="128" bestFit="1" customWidth="1"/>
    <col min="40" max="40" width="13.42578125" style="128" bestFit="1" customWidth="1"/>
    <col min="41" max="41" width="15.140625" style="128" bestFit="1" customWidth="1"/>
    <col min="42" max="42" width="15.85546875" style="128" bestFit="1" customWidth="1"/>
    <col min="43" max="43" width="12.5703125" style="128" bestFit="1" customWidth="1"/>
    <col min="44" max="44" width="12.28515625" style="128" bestFit="1" customWidth="1"/>
    <col min="45" max="45" width="13" style="128" bestFit="1" customWidth="1"/>
    <col min="46" max="46" width="13.85546875" style="128" bestFit="1" customWidth="1"/>
    <col min="47" max="47" width="14.5703125" style="128" bestFit="1" customWidth="1"/>
    <col min="48" max="48" width="13" style="128" bestFit="1" customWidth="1"/>
    <col min="49" max="49" width="13.7109375" style="128" bestFit="1" customWidth="1"/>
    <col min="50" max="50" width="12.42578125" style="128" bestFit="1" customWidth="1"/>
    <col min="51" max="51" width="13.140625" style="128" bestFit="1" customWidth="1"/>
    <col min="52" max="52" width="18.28515625" style="128" bestFit="1" customWidth="1"/>
    <col min="53" max="53" width="19" style="128" bestFit="1" customWidth="1"/>
    <col min="54" max="54" width="20.28515625" style="128" bestFit="1" customWidth="1"/>
    <col min="55" max="55" width="22.5703125" style="128" bestFit="1" customWidth="1"/>
    <col min="56" max="56" width="23.28515625" style="128" bestFit="1" customWidth="1"/>
    <col min="57" max="57" width="21.5703125" style="128" bestFit="1" customWidth="1"/>
    <col min="58" max="58" width="22.28515625" style="128" bestFit="1" customWidth="1"/>
    <col min="59" max="59" width="24" style="128" bestFit="1" customWidth="1"/>
    <col min="60" max="60" width="24.7109375" style="128" bestFit="1" customWidth="1"/>
    <col min="61" max="61" width="21.42578125" style="128" bestFit="1" customWidth="1"/>
    <col min="62" max="62" width="21.140625" style="128" bestFit="1" customWidth="1"/>
    <col min="63" max="63" width="21.85546875" style="128" bestFit="1" customWidth="1"/>
    <col min="64" max="64" width="22.7109375" style="128" bestFit="1" customWidth="1"/>
    <col min="65" max="65" width="23.42578125" style="128" bestFit="1" customWidth="1"/>
    <col min="66" max="66" width="21.85546875" style="128" bestFit="1" customWidth="1"/>
    <col min="67" max="67" width="22.5703125" style="128" bestFit="1" customWidth="1"/>
    <col min="68" max="68" width="21.28515625" style="128" bestFit="1" customWidth="1"/>
    <col min="69" max="69" width="22" style="128" bestFit="1" customWidth="1"/>
    <col min="70" max="16384" width="11.42578125" style="128"/>
  </cols>
  <sheetData>
    <row r="1" spans="1:69" x14ac:dyDescent="0.25">
      <c r="A1" s="191" t="s">
        <v>192</v>
      </c>
      <c r="B1" s="191" t="s">
        <v>460</v>
      </c>
      <c r="C1" s="191" t="s">
        <v>432</v>
      </c>
      <c r="D1" s="191" t="s">
        <v>193</v>
      </c>
      <c r="E1" s="191" t="s">
        <v>434</v>
      </c>
      <c r="F1" s="191" t="s">
        <v>2</v>
      </c>
      <c r="G1" s="191" t="s">
        <v>122</v>
      </c>
      <c r="H1" s="191" t="s">
        <v>121</v>
      </c>
      <c r="I1" s="191" t="s">
        <v>7</v>
      </c>
      <c r="J1" s="191" t="s">
        <v>194</v>
      </c>
      <c r="K1" s="191" t="s">
        <v>467</v>
      </c>
      <c r="L1" s="191" t="s">
        <v>195</v>
      </c>
      <c r="M1" s="192" t="s">
        <v>414</v>
      </c>
      <c r="N1" s="192" t="s">
        <v>196</v>
      </c>
      <c r="O1" s="192" t="s">
        <v>197</v>
      </c>
      <c r="P1" s="191" t="s">
        <v>198</v>
      </c>
      <c r="Q1" s="191" t="s">
        <v>433</v>
      </c>
      <c r="R1" s="190" t="s">
        <v>199</v>
      </c>
      <c r="S1" s="194" t="s">
        <v>456</v>
      </c>
      <c r="T1" s="195" t="s">
        <v>457</v>
      </c>
      <c r="U1" s="189" t="s">
        <v>200</v>
      </c>
      <c r="V1" s="194" t="s">
        <v>458</v>
      </c>
      <c r="W1" s="195" t="s">
        <v>459</v>
      </c>
      <c r="X1" s="190" t="s">
        <v>200</v>
      </c>
      <c r="Y1" s="190" t="s">
        <v>201</v>
      </c>
      <c r="Z1" s="190" t="s">
        <v>202</v>
      </c>
      <c r="AA1" s="190" t="s">
        <v>203</v>
      </c>
      <c r="AB1" s="190" t="s">
        <v>204</v>
      </c>
      <c r="AC1" s="190" t="s">
        <v>205</v>
      </c>
      <c r="AD1" s="190" t="s">
        <v>206</v>
      </c>
      <c r="AE1" s="193" t="s">
        <v>12</v>
      </c>
      <c r="AF1" s="193" t="s">
        <v>13</v>
      </c>
      <c r="AG1" s="193" t="s">
        <v>14</v>
      </c>
      <c r="AH1" s="193" t="s">
        <v>435</v>
      </c>
      <c r="AI1" s="193" t="s">
        <v>436</v>
      </c>
      <c r="AJ1" s="193" t="s">
        <v>437</v>
      </c>
      <c r="AK1" s="193" t="s">
        <v>438</v>
      </c>
      <c r="AL1" s="193" t="s">
        <v>439</v>
      </c>
      <c r="AM1" s="193" t="s">
        <v>440</v>
      </c>
      <c r="AN1" s="193" t="s">
        <v>441</v>
      </c>
      <c r="AO1" s="193" t="s">
        <v>442</v>
      </c>
      <c r="AP1" s="193" t="s">
        <v>443</v>
      </c>
      <c r="AQ1" s="193" t="s">
        <v>444</v>
      </c>
      <c r="AR1" s="193" t="s">
        <v>445</v>
      </c>
      <c r="AS1" s="193" t="s">
        <v>446</v>
      </c>
      <c r="AT1" s="193" t="s">
        <v>447</v>
      </c>
      <c r="AU1" s="193" t="s">
        <v>448</v>
      </c>
      <c r="AV1" s="193" t="s">
        <v>449</v>
      </c>
      <c r="AW1" s="193" t="s">
        <v>450</v>
      </c>
      <c r="AX1" s="193" t="s">
        <v>451</v>
      </c>
      <c r="AY1" s="193" t="s">
        <v>452</v>
      </c>
      <c r="AZ1" s="419" t="s">
        <v>468</v>
      </c>
      <c r="BA1" s="419" t="s">
        <v>469</v>
      </c>
      <c r="BB1" s="419" t="s">
        <v>470</v>
      </c>
      <c r="BC1" s="419" t="s">
        <v>471</v>
      </c>
      <c r="BD1" s="419" t="s">
        <v>472</v>
      </c>
      <c r="BE1" s="419" t="s">
        <v>473</v>
      </c>
      <c r="BF1" s="419" t="s">
        <v>474</v>
      </c>
      <c r="BG1" s="419" t="s">
        <v>475</v>
      </c>
      <c r="BH1" s="419" t="s">
        <v>476</v>
      </c>
      <c r="BI1" s="419" t="s">
        <v>477</v>
      </c>
      <c r="BJ1" s="419" t="s">
        <v>478</v>
      </c>
      <c r="BK1" s="419" t="s">
        <v>479</v>
      </c>
      <c r="BL1" s="419" t="s">
        <v>480</v>
      </c>
      <c r="BM1" s="419" t="s">
        <v>481</v>
      </c>
      <c r="BN1" s="419" t="s">
        <v>482</v>
      </c>
      <c r="BO1" s="419" t="s">
        <v>483</v>
      </c>
      <c r="BP1" s="419" t="s">
        <v>484</v>
      </c>
      <c r="BQ1" s="419" t="s">
        <v>485</v>
      </c>
    </row>
    <row r="2" spans="1:69" x14ac:dyDescent="0.25">
      <c r="A2" s="129">
        <v>29</v>
      </c>
      <c r="B2" s="129">
        <v>1</v>
      </c>
      <c r="C2" s="129" t="s">
        <v>358</v>
      </c>
      <c r="D2" s="129" t="s">
        <v>358</v>
      </c>
      <c r="E2" s="129" t="s">
        <v>108</v>
      </c>
      <c r="F2" s="129" t="s">
        <v>235</v>
      </c>
      <c r="G2" s="129" t="s">
        <v>465</v>
      </c>
      <c r="H2" s="129" t="s">
        <v>359</v>
      </c>
      <c r="I2" s="129" t="s">
        <v>256</v>
      </c>
      <c r="J2" s="129" t="s">
        <v>360</v>
      </c>
      <c r="K2" s="129" t="s">
        <v>110</v>
      </c>
      <c r="L2" s="130">
        <v>3</v>
      </c>
      <c r="M2" s="394">
        <v>46388</v>
      </c>
      <c r="N2" s="394">
        <v>46935</v>
      </c>
      <c r="O2" s="394">
        <v>46211</v>
      </c>
      <c r="P2" s="131">
        <v>86086705.700000003</v>
      </c>
      <c r="Q2" s="131" t="s">
        <v>454</v>
      </c>
      <c r="R2" s="129" t="s">
        <v>361</v>
      </c>
      <c r="S2" s="132">
        <v>0.3</v>
      </c>
      <c r="T2" s="130">
        <f>AA2*S2</f>
        <v>22.5</v>
      </c>
      <c r="U2" s="130">
        <f>T2*3</f>
        <v>67.5</v>
      </c>
      <c r="V2" s="132">
        <f>AB2/AA2</f>
        <v>0.34133333333333338</v>
      </c>
      <c r="W2" s="130">
        <f>AA2*V2</f>
        <v>25.600000000000005</v>
      </c>
      <c r="X2" s="130">
        <f>W2*3</f>
        <v>76.800000000000011</v>
      </c>
      <c r="Y2" s="131">
        <f>P2/AA2</f>
        <v>1147822.7426666666</v>
      </c>
      <c r="Z2" s="131">
        <f>P2/AB2</f>
        <v>3362761.94140625</v>
      </c>
      <c r="AA2" s="130">
        <v>75</v>
      </c>
      <c r="AB2" s="130">
        <v>25.6</v>
      </c>
      <c r="AC2" s="129" t="s">
        <v>240</v>
      </c>
      <c r="AD2" s="129" t="s">
        <v>109</v>
      </c>
      <c r="AE2" s="133">
        <f>(AH2*10%)+(AJ2*10%)+(AK2*20%)+(AM2*10%)+(AO2*20%)+(AQ2*10%)+(AR2*5%)+(AT2*5%)+(AV2*5%)+(AX2*5%)</f>
        <v>0.82000000000000028</v>
      </c>
      <c r="AF2" s="133">
        <f>(AI2*10%)+(AJ2*10%)+(AL2*20%)+(AN2*10%)+(AP2*20%)+(AQ2*10%)+(AS2*5%)+(AU2*5%)+(AW2*5%)+(AY2*5%)</f>
        <v>0.70000000000000018</v>
      </c>
      <c r="AG2" s="133">
        <f>(AE2*80%)+(AF2*20%)</f>
        <v>0.79600000000000026</v>
      </c>
      <c r="AH2" s="133">
        <v>1</v>
      </c>
      <c r="AI2" s="133">
        <v>0.5</v>
      </c>
      <c r="AJ2" s="133">
        <v>1</v>
      </c>
      <c r="AK2" s="133">
        <v>0.8</v>
      </c>
      <c r="AL2" s="133">
        <v>0.5</v>
      </c>
      <c r="AM2" s="133">
        <v>0.5</v>
      </c>
      <c r="AN2" s="133">
        <v>0.5</v>
      </c>
      <c r="AO2" s="133">
        <v>1</v>
      </c>
      <c r="AP2" s="133">
        <v>1</v>
      </c>
      <c r="AQ2" s="133">
        <v>0.3</v>
      </c>
      <c r="AR2" s="133">
        <v>0.7</v>
      </c>
      <c r="AS2" s="133">
        <v>0.5</v>
      </c>
      <c r="AT2" s="133">
        <v>1</v>
      </c>
      <c r="AU2" s="133">
        <v>1</v>
      </c>
      <c r="AV2" s="133">
        <v>1</v>
      </c>
      <c r="AW2" s="133">
        <v>1</v>
      </c>
      <c r="AX2" s="133">
        <v>0.9</v>
      </c>
      <c r="AY2" s="133">
        <v>0.9</v>
      </c>
      <c r="AZ2" s="420" t="s">
        <v>60</v>
      </c>
      <c r="BA2" s="421">
        <v>0</v>
      </c>
      <c r="BB2" s="421" t="s">
        <v>60</v>
      </c>
      <c r="BC2" s="421" t="s">
        <v>423</v>
      </c>
      <c r="BD2" s="421">
        <v>0</v>
      </c>
      <c r="BE2" s="421" t="s">
        <v>422</v>
      </c>
      <c r="BF2" s="421">
        <v>0</v>
      </c>
      <c r="BG2" s="421" t="s">
        <v>60</v>
      </c>
      <c r="BH2" s="421">
        <v>0</v>
      </c>
      <c r="BI2" s="421" t="s">
        <v>464</v>
      </c>
      <c r="BJ2" s="421" t="s">
        <v>423</v>
      </c>
      <c r="BK2" s="421">
        <v>0</v>
      </c>
      <c r="BL2" s="421" t="s">
        <v>60</v>
      </c>
      <c r="BM2" s="421">
        <v>0</v>
      </c>
      <c r="BN2" s="421" t="s">
        <v>60</v>
      </c>
      <c r="BO2" s="421">
        <v>0</v>
      </c>
      <c r="BP2" s="421" t="s">
        <v>425</v>
      </c>
      <c r="BQ2" s="421">
        <v>0</v>
      </c>
    </row>
    <row r="3" spans="1:69" x14ac:dyDescent="0.25">
      <c r="A3" s="129">
        <v>5</v>
      </c>
      <c r="B3" s="129">
        <v>2</v>
      </c>
      <c r="C3" s="129" t="s">
        <v>234</v>
      </c>
      <c r="D3" s="129" t="s">
        <v>234</v>
      </c>
      <c r="E3" s="129" t="s">
        <v>111</v>
      </c>
      <c r="F3" s="129" t="s">
        <v>235</v>
      </c>
      <c r="G3" s="129" t="s">
        <v>465</v>
      </c>
      <c r="H3" s="129" t="s">
        <v>236</v>
      </c>
      <c r="I3" s="129" t="s">
        <v>237</v>
      </c>
      <c r="J3" s="129" t="s">
        <v>238</v>
      </c>
      <c r="K3" s="129" t="s">
        <v>113</v>
      </c>
      <c r="L3" s="130">
        <v>3</v>
      </c>
      <c r="M3" s="394">
        <v>46478</v>
      </c>
      <c r="N3" s="394">
        <v>47057</v>
      </c>
      <c r="O3" s="394">
        <v>46211</v>
      </c>
      <c r="P3" s="131">
        <v>60278577.799999997</v>
      </c>
      <c r="Q3" s="131" t="s">
        <v>453</v>
      </c>
      <c r="R3" s="129" t="s">
        <v>239</v>
      </c>
      <c r="S3" s="132">
        <v>0.3</v>
      </c>
      <c r="T3" s="130">
        <f>AA3*S3</f>
        <v>16.2</v>
      </c>
      <c r="U3" s="130">
        <f>T3*3</f>
        <v>48.599999999999994</v>
      </c>
      <c r="V3" s="132">
        <f>AB3/AA3</f>
        <v>0.34074074074074073</v>
      </c>
      <c r="W3" s="130">
        <f>AA3*V3</f>
        <v>18.399999999999999</v>
      </c>
      <c r="X3" s="130">
        <f>W3*3</f>
        <v>55.199999999999996</v>
      </c>
      <c r="Y3" s="131">
        <f>P3/AA3</f>
        <v>1116269.9592592593</v>
      </c>
      <c r="Z3" s="131">
        <f>P3/AB3</f>
        <v>3276009.6630434785</v>
      </c>
      <c r="AA3" s="130">
        <v>54</v>
      </c>
      <c r="AB3" s="130">
        <v>18.399999999999999</v>
      </c>
      <c r="AC3" s="129" t="s">
        <v>240</v>
      </c>
      <c r="AD3" s="129" t="s">
        <v>241</v>
      </c>
      <c r="AE3" s="133">
        <f>(AH3*10%)+(AJ3*10%)+(AK3*20%)+(AM3*10%)+(AO3*20%)+(AQ3*10%)+(AR3*5%)+(AT3*5%)+(AV3*5%)+(AX3*5%)</f>
        <v>0.80000000000000027</v>
      </c>
      <c r="AF3" s="133">
        <f>(AI3*10%)+(AJ3*10%)+(AL3*20%)+(AN3*10%)+(AP3*20%)+(AQ3*10%)+(AS3*5%)+(AU3*5%)+(AW3*5%)+(AY3*5%)</f>
        <v>0.55500000000000005</v>
      </c>
      <c r="AG3" s="133">
        <f>(AE3*80%)+(AF3*20%)</f>
        <v>0.75100000000000022</v>
      </c>
      <c r="AH3" s="133">
        <v>1</v>
      </c>
      <c r="AI3" s="133">
        <v>0</v>
      </c>
      <c r="AJ3" s="133">
        <v>1</v>
      </c>
      <c r="AK3" s="133">
        <v>0.5</v>
      </c>
      <c r="AL3" s="133">
        <v>0.5</v>
      </c>
      <c r="AM3" s="133">
        <v>1</v>
      </c>
      <c r="AN3" s="133">
        <v>0</v>
      </c>
      <c r="AO3" s="133">
        <v>0.9</v>
      </c>
      <c r="AP3" s="133">
        <v>0.9</v>
      </c>
      <c r="AQ3" s="133">
        <v>0.3</v>
      </c>
      <c r="AR3" s="133">
        <v>0.9</v>
      </c>
      <c r="AS3" s="133">
        <v>0</v>
      </c>
      <c r="AT3" s="133">
        <v>1</v>
      </c>
      <c r="AU3" s="133">
        <v>1</v>
      </c>
      <c r="AV3" s="133">
        <v>1</v>
      </c>
      <c r="AW3" s="133">
        <v>1</v>
      </c>
      <c r="AX3" s="133">
        <v>0.9</v>
      </c>
      <c r="AY3" s="133">
        <v>0.9</v>
      </c>
      <c r="AZ3" s="420" t="s">
        <v>60</v>
      </c>
      <c r="BA3" s="421">
        <v>0</v>
      </c>
      <c r="BB3" s="421" t="s">
        <v>60</v>
      </c>
      <c r="BC3" s="421" t="s">
        <v>422</v>
      </c>
      <c r="BD3" s="421">
        <v>0</v>
      </c>
      <c r="BE3" s="421" t="s">
        <v>59</v>
      </c>
      <c r="BF3" s="421">
        <v>0</v>
      </c>
      <c r="BG3" s="421" t="s">
        <v>425</v>
      </c>
      <c r="BH3" s="421">
        <v>0</v>
      </c>
      <c r="BI3" s="421" t="s">
        <v>464</v>
      </c>
      <c r="BJ3" s="421" t="s">
        <v>423</v>
      </c>
      <c r="BK3" s="421">
        <v>0</v>
      </c>
      <c r="BL3" s="421" t="s">
        <v>60</v>
      </c>
      <c r="BM3" s="421">
        <v>0</v>
      </c>
      <c r="BN3" s="421" t="s">
        <v>60</v>
      </c>
      <c r="BO3" s="421">
        <v>0</v>
      </c>
      <c r="BP3" s="421" t="s">
        <v>425</v>
      </c>
      <c r="BQ3" s="421">
        <v>0</v>
      </c>
    </row>
    <row r="4" spans="1:69" x14ac:dyDescent="0.25">
      <c r="A4" s="129">
        <v>23</v>
      </c>
      <c r="B4" s="129">
        <v>3</v>
      </c>
      <c r="C4" s="129" t="s">
        <v>332</v>
      </c>
      <c r="D4" s="129" t="s">
        <v>332</v>
      </c>
      <c r="E4" s="129" t="s">
        <v>134</v>
      </c>
      <c r="F4" s="129" t="s">
        <v>235</v>
      </c>
      <c r="G4" s="129" t="s">
        <v>465</v>
      </c>
      <c r="H4" s="129" t="s">
        <v>333</v>
      </c>
      <c r="I4" s="129" t="s">
        <v>298</v>
      </c>
      <c r="J4" s="129" t="s">
        <v>334</v>
      </c>
      <c r="K4" s="129" t="s">
        <v>136</v>
      </c>
      <c r="L4" s="130">
        <v>3</v>
      </c>
      <c r="M4" s="394">
        <v>46507</v>
      </c>
      <c r="N4" s="394">
        <v>47057</v>
      </c>
      <c r="O4" s="394">
        <v>46206</v>
      </c>
      <c r="P4" s="131">
        <v>114611715.90000001</v>
      </c>
      <c r="Q4" s="131" t="s">
        <v>453</v>
      </c>
      <c r="R4" s="129" t="s">
        <v>335</v>
      </c>
      <c r="S4" s="132">
        <v>0.3</v>
      </c>
      <c r="T4" s="130">
        <f>AA4*S4</f>
        <v>36</v>
      </c>
      <c r="U4" s="130">
        <f>T4*3</f>
        <v>108</v>
      </c>
      <c r="V4" s="132">
        <f>AB4/AA4</f>
        <v>0.34083333333333332</v>
      </c>
      <c r="W4" s="130">
        <f>AA4*V4</f>
        <v>40.9</v>
      </c>
      <c r="X4" s="130">
        <f>W4*3</f>
        <v>122.69999999999999</v>
      </c>
      <c r="Y4" s="131">
        <f>P4/AA4</f>
        <v>955097.63250000007</v>
      </c>
      <c r="Z4" s="131">
        <f>P4/AB4</f>
        <v>2802242.4425427876</v>
      </c>
      <c r="AA4" s="130">
        <v>120</v>
      </c>
      <c r="AB4" s="130">
        <v>40.9</v>
      </c>
      <c r="AC4" s="129" t="s">
        <v>221</v>
      </c>
      <c r="AD4" s="129" t="s">
        <v>135</v>
      </c>
      <c r="AE4" s="133">
        <f>(AH4*10%)+(AJ4*10%)+(AK4*20%)+(AM4*10%)+(AO4*20%)+(AQ4*10%)+(AR4*5%)+(AT4*5%)+(AV4*5%)+(AX4*5%)</f>
        <v>0.6</v>
      </c>
      <c r="AF4" s="133">
        <f>(AI4*10%)+(AJ4*10%)+(AL4*20%)+(AN4*10%)+(AP4*20%)+(AQ4*10%)+(AS4*5%)+(AU4*5%)+(AW4*5%)+(AY4*5%)</f>
        <v>0.64500000000000002</v>
      </c>
      <c r="AG4" s="133">
        <f>(AE4*80%)+(AF4*20%)</f>
        <v>0.60899999999999999</v>
      </c>
      <c r="AH4" s="133">
        <v>0.5</v>
      </c>
      <c r="AI4" s="133">
        <v>0.95</v>
      </c>
      <c r="AJ4" s="133">
        <v>1</v>
      </c>
      <c r="AK4" s="133">
        <v>0.5</v>
      </c>
      <c r="AL4" s="133">
        <v>0.5</v>
      </c>
      <c r="AM4" s="133">
        <v>1</v>
      </c>
      <c r="AN4" s="133">
        <v>1</v>
      </c>
      <c r="AO4" s="133">
        <v>0.5</v>
      </c>
      <c r="AP4" s="133">
        <v>0.5</v>
      </c>
      <c r="AQ4" s="133">
        <v>1</v>
      </c>
      <c r="AR4" s="133">
        <v>0.5</v>
      </c>
      <c r="AS4" s="133">
        <v>0.5</v>
      </c>
      <c r="AT4" s="133">
        <v>0.5</v>
      </c>
      <c r="AU4" s="133">
        <v>0.5</v>
      </c>
      <c r="AV4" s="133">
        <v>0</v>
      </c>
      <c r="AW4" s="133">
        <v>0</v>
      </c>
      <c r="AX4" s="133">
        <v>0</v>
      </c>
      <c r="AY4" s="133">
        <v>0</v>
      </c>
      <c r="AZ4" s="420">
        <v>0</v>
      </c>
      <c r="BA4" s="421">
        <v>0</v>
      </c>
      <c r="BB4" s="421">
        <v>0</v>
      </c>
      <c r="BC4" s="421">
        <v>0</v>
      </c>
      <c r="BD4" s="421">
        <v>0</v>
      </c>
      <c r="BE4" s="421">
        <v>0</v>
      </c>
      <c r="BF4" s="421">
        <v>0</v>
      </c>
      <c r="BG4" s="421">
        <v>0</v>
      </c>
      <c r="BH4" s="421">
        <v>0</v>
      </c>
      <c r="BI4" s="421">
        <v>0</v>
      </c>
      <c r="BJ4" s="421">
        <v>0</v>
      </c>
      <c r="BK4" s="421">
        <v>0</v>
      </c>
      <c r="BL4" s="421">
        <v>0</v>
      </c>
      <c r="BM4" s="421">
        <v>0</v>
      </c>
      <c r="BN4" s="421">
        <v>0</v>
      </c>
      <c r="BO4" s="421">
        <v>0</v>
      </c>
      <c r="BP4" s="421">
        <v>0</v>
      </c>
      <c r="BQ4" s="421">
        <v>0</v>
      </c>
    </row>
    <row r="5" spans="1:69" x14ac:dyDescent="0.25">
      <c r="A5" s="135">
        <v>34</v>
      </c>
      <c r="B5" s="129">
        <v>4</v>
      </c>
      <c r="C5" s="135" t="s">
        <v>379</v>
      </c>
      <c r="D5" s="129" t="s">
        <v>379</v>
      </c>
      <c r="E5" s="129" t="s">
        <v>89</v>
      </c>
      <c r="F5" s="135" t="s">
        <v>380</v>
      </c>
      <c r="G5" s="135" t="s">
        <v>465</v>
      </c>
      <c r="H5" s="135" t="s">
        <v>381</v>
      </c>
      <c r="I5" s="135" t="s">
        <v>382</v>
      </c>
      <c r="J5" s="135" t="s">
        <v>383</v>
      </c>
      <c r="K5" s="135" t="s">
        <v>92</v>
      </c>
      <c r="L5" s="136">
        <v>3</v>
      </c>
      <c r="M5" s="395">
        <v>46388</v>
      </c>
      <c r="N5" s="395">
        <v>46935</v>
      </c>
      <c r="O5" s="395">
        <v>46212</v>
      </c>
      <c r="P5" s="131">
        <v>161106071.69999999</v>
      </c>
      <c r="Q5" s="131" t="s">
        <v>454</v>
      </c>
      <c r="R5" s="161" t="s">
        <v>417</v>
      </c>
      <c r="S5" s="137">
        <v>0.3</v>
      </c>
      <c r="T5" s="136">
        <f>AA5*S5</f>
        <v>37.5</v>
      </c>
      <c r="U5" s="136">
        <f>T5*3</f>
        <v>112.5</v>
      </c>
      <c r="V5" s="137">
        <f>AB5/AA5</f>
        <v>0.3</v>
      </c>
      <c r="W5" s="136">
        <f>AA5*V5</f>
        <v>37.5</v>
      </c>
      <c r="X5" s="136">
        <f>W5*3</f>
        <v>112.5</v>
      </c>
      <c r="Y5" s="138">
        <f>P5/AA5</f>
        <v>1288848.5736</v>
      </c>
      <c r="Z5" s="138">
        <f>P5/AB5</f>
        <v>4296161.9119999995</v>
      </c>
      <c r="AA5" s="136">
        <v>125</v>
      </c>
      <c r="AB5" s="136">
        <v>37.5</v>
      </c>
      <c r="AC5" s="135" t="s">
        <v>240</v>
      </c>
      <c r="AD5" s="135" t="s">
        <v>90</v>
      </c>
      <c r="AE5" s="133">
        <f>(AH5*10%)+(AJ5*10%)+(AK5*20%)+(AM5*10%)+(AO5*20%)+(AQ5*10%)+(AR5*5%)+(AT5*5%)+(AV5*5%)+(AX5*5%)</f>
        <v>0.87500000000000022</v>
      </c>
      <c r="AF5" s="133">
        <f>(AI5*10%)+(AJ5*10%)+(AL5*20%)+(AN5*10%)+(AP5*20%)+(AQ5*10%)+(AS5*5%)+(AU5*5%)+(AW5*5%)+(AY5*5%)</f>
        <v>0.80000000000000027</v>
      </c>
      <c r="AG5" s="133">
        <f>(AE5*80%)+(AF5*20%)</f>
        <v>0.86000000000000021</v>
      </c>
      <c r="AH5" s="133">
        <v>1</v>
      </c>
      <c r="AI5" s="133">
        <v>0</v>
      </c>
      <c r="AJ5" s="133">
        <v>1</v>
      </c>
      <c r="AK5" s="133">
        <v>0.9</v>
      </c>
      <c r="AL5" s="133">
        <v>0.9</v>
      </c>
      <c r="AM5" s="133">
        <v>0.8</v>
      </c>
      <c r="AN5" s="133">
        <v>1</v>
      </c>
      <c r="AO5" s="133">
        <v>1</v>
      </c>
      <c r="AP5" s="133">
        <v>1</v>
      </c>
      <c r="AQ5" s="133">
        <v>0.3</v>
      </c>
      <c r="AR5" s="133">
        <v>0.9</v>
      </c>
      <c r="AS5" s="133">
        <v>1</v>
      </c>
      <c r="AT5" s="133">
        <v>1</v>
      </c>
      <c r="AU5" s="133">
        <v>1</v>
      </c>
      <c r="AV5" s="133">
        <v>1</v>
      </c>
      <c r="AW5" s="133">
        <v>1</v>
      </c>
      <c r="AX5" s="133">
        <v>0.8</v>
      </c>
      <c r="AY5" s="133">
        <v>0.8</v>
      </c>
      <c r="AZ5" s="420" t="s">
        <v>60</v>
      </c>
      <c r="BA5" s="421">
        <v>0</v>
      </c>
      <c r="BB5" s="421" t="s">
        <v>60</v>
      </c>
      <c r="BC5" s="421" t="s">
        <v>425</v>
      </c>
      <c r="BD5" s="421">
        <v>0</v>
      </c>
      <c r="BE5" s="421" t="s">
        <v>425</v>
      </c>
      <c r="BF5" s="421">
        <v>0</v>
      </c>
      <c r="BG5" s="421" t="s">
        <v>60</v>
      </c>
      <c r="BH5" s="421">
        <v>0</v>
      </c>
      <c r="BI5" s="421" t="s">
        <v>464</v>
      </c>
      <c r="BJ5" s="421" t="s">
        <v>425</v>
      </c>
      <c r="BK5" s="421">
        <v>0</v>
      </c>
      <c r="BL5" s="421" t="s">
        <v>60</v>
      </c>
      <c r="BM5" s="421">
        <v>0</v>
      </c>
      <c r="BN5" s="421" t="s">
        <v>60</v>
      </c>
      <c r="BO5" s="421">
        <v>0</v>
      </c>
      <c r="BP5" s="421" t="s">
        <v>425</v>
      </c>
      <c r="BQ5" s="421">
        <v>0</v>
      </c>
    </row>
    <row r="6" spans="1:69" x14ac:dyDescent="0.25">
      <c r="A6" s="129">
        <v>24</v>
      </c>
      <c r="B6" s="129">
        <v>5</v>
      </c>
      <c r="C6" s="129" t="s">
        <v>336</v>
      </c>
      <c r="D6" s="129" t="s">
        <v>336</v>
      </c>
      <c r="E6" s="129" t="s">
        <v>137</v>
      </c>
      <c r="F6" s="129" t="s">
        <v>337</v>
      </c>
      <c r="G6" s="129" t="s">
        <v>465</v>
      </c>
      <c r="H6" s="129" t="s">
        <v>338</v>
      </c>
      <c r="I6" s="129" t="s">
        <v>339</v>
      </c>
      <c r="J6" s="129" t="s">
        <v>340</v>
      </c>
      <c r="K6" s="129" t="s">
        <v>138</v>
      </c>
      <c r="L6" s="130">
        <v>3</v>
      </c>
      <c r="M6" s="394">
        <v>46447</v>
      </c>
      <c r="N6" s="394">
        <v>47118</v>
      </c>
      <c r="O6" s="394">
        <v>46206</v>
      </c>
      <c r="P6" s="131">
        <v>98564828</v>
      </c>
      <c r="Q6" s="131" t="s">
        <v>453</v>
      </c>
      <c r="R6" s="129" t="s">
        <v>341</v>
      </c>
      <c r="S6" s="132">
        <v>0.3</v>
      </c>
      <c r="T6" s="130">
        <f>AA6*S6</f>
        <v>30</v>
      </c>
      <c r="U6" s="130">
        <f>T6*3</f>
        <v>90</v>
      </c>
      <c r="V6" s="132">
        <f>AB6/AA6</f>
        <v>0.3</v>
      </c>
      <c r="W6" s="130">
        <f>AA6*V6</f>
        <v>30</v>
      </c>
      <c r="X6" s="130">
        <f>W6*3</f>
        <v>90</v>
      </c>
      <c r="Y6" s="131">
        <f>P6/AA6</f>
        <v>985648.28</v>
      </c>
      <c r="Z6" s="131">
        <f>P6/AB6</f>
        <v>3285494.2666666666</v>
      </c>
      <c r="AA6" s="130">
        <v>100</v>
      </c>
      <c r="AB6" s="130">
        <v>30</v>
      </c>
      <c r="AC6" s="129" t="s">
        <v>240</v>
      </c>
      <c r="AD6" s="129" t="s">
        <v>342</v>
      </c>
      <c r="AE6" s="133">
        <f>(AH6*10%)+(AJ6*10%)+(AK6*20%)+(AM6*10%)+(AO6*20%)+(AQ6*10%)+(AR6*5%)+(AT6*5%)+(AV6*5%)+(AX6*5%)</f>
        <v>0.79000000000000026</v>
      </c>
      <c r="AF6" s="133">
        <f>(AI6*10%)+(AJ6*10%)+(AL6*20%)+(AN6*10%)+(AP6*20%)+(AQ6*10%)+(AS6*5%)+(AU6*5%)+(AW6*5%)+(AY6*5%)</f>
        <v>0.53500000000000014</v>
      </c>
      <c r="AG6" s="133">
        <f>(AE6*80%)+(AF6*20%)</f>
        <v>0.73900000000000032</v>
      </c>
      <c r="AH6" s="133">
        <v>0.9</v>
      </c>
      <c r="AI6" s="133">
        <v>0.5</v>
      </c>
      <c r="AJ6" s="133">
        <v>1</v>
      </c>
      <c r="AK6" s="133">
        <v>0.8</v>
      </c>
      <c r="AL6" s="133">
        <v>0.6</v>
      </c>
      <c r="AM6" s="133">
        <v>0.5</v>
      </c>
      <c r="AN6" s="133">
        <v>0</v>
      </c>
      <c r="AO6" s="133">
        <v>0.8</v>
      </c>
      <c r="AP6" s="133">
        <v>0.8</v>
      </c>
      <c r="AQ6" s="133">
        <v>0.3</v>
      </c>
      <c r="AR6" s="133">
        <v>1</v>
      </c>
      <c r="AS6" s="133">
        <v>0.5</v>
      </c>
      <c r="AT6" s="133">
        <v>1</v>
      </c>
      <c r="AU6" s="133">
        <v>0</v>
      </c>
      <c r="AV6" s="133">
        <v>1</v>
      </c>
      <c r="AW6" s="133">
        <v>0</v>
      </c>
      <c r="AX6" s="133">
        <v>1</v>
      </c>
      <c r="AY6" s="133">
        <v>1</v>
      </c>
      <c r="AZ6" s="420" t="s">
        <v>423</v>
      </c>
      <c r="BA6" s="421">
        <v>0</v>
      </c>
      <c r="BB6" s="421" t="s">
        <v>60</v>
      </c>
      <c r="BC6" s="421" t="s">
        <v>425</v>
      </c>
      <c r="BD6" s="421">
        <v>0</v>
      </c>
      <c r="BE6" s="421" t="s">
        <v>422</v>
      </c>
      <c r="BF6" s="421">
        <v>0</v>
      </c>
      <c r="BG6" s="421" t="s">
        <v>425</v>
      </c>
      <c r="BH6" s="421">
        <v>0</v>
      </c>
      <c r="BI6" s="421" t="s">
        <v>464</v>
      </c>
      <c r="BJ6" s="421" t="s">
        <v>60</v>
      </c>
      <c r="BK6" s="421">
        <v>0</v>
      </c>
      <c r="BL6" s="421" t="s">
        <v>60</v>
      </c>
      <c r="BM6" s="421">
        <v>0</v>
      </c>
      <c r="BN6" s="421" t="s">
        <v>60</v>
      </c>
      <c r="BO6" s="421">
        <v>0</v>
      </c>
      <c r="BP6" s="421" t="s">
        <v>60</v>
      </c>
      <c r="BQ6" s="421">
        <v>0</v>
      </c>
    </row>
    <row r="7" spans="1:69" x14ac:dyDescent="0.25">
      <c r="A7" s="129">
        <v>25</v>
      </c>
      <c r="B7" s="129">
        <v>6</v>
      </c>
      <c r="C7" s="129" t="s">
        <v>343</v>
      </c>
      <c r="D7" s="129" t="s">
        <v>343</v>
      </c>
      <c r="E7" s="129" t="s">
        <v>139</v>
      </c>
      <c r="F7" s="129" t="s">
        <v>337</v>
      </c>
      <c r="G7" s="129" t="s">
        <v>465</v>
      </c>
      <c r="H7" s="129" t="s">
        <v>344</v>
      </c>
      <c r="I7" s="129" t="s">
        <v>339</v>
      </c>
      <c r="J7" s="129" t="s">
        <v>340</v>
      </c>
      <c r="K7" s="129" t="s">
        <v>138</v>
      </c>
      <c r="L7" s="130">
        <v>3</v>
      </c>
      <c r="M7" s="394">
        <v>46447</v>
      </c>
      <c r="N7" s="394">
        <v>47118</v>
      </c>
      <c r="O7" s="394">
        <v>46206</v>
      </c>
      <c r="P7" s="131">
        <v>99932858</v>
      </c>
      <c r="Q7" s="131" t="s">
        <v>454</v>
      </c>
      <c r="R7" s="129" t="s">
        <v>341</v>
      </c>
      <c r="S7" s="132">
        <v>0.3</v>
      </c>
      <c r="T7" s="130">
        <f>AA7*S7</f>
        <v>30</v>
      </c>
      <c r="U7" s="130">
        <f>T7*3</f>
        <v>90</v>
      </c>
      <c r="V7" s="132">
        <f>AB7/AA7</f>
        <v>0.3</v>
      </c>
      <c r="W7" s="130">
        <f>AA7*V7</f>
        <v>30</v>
      </c>
      <c r="X7" s="130">
        <f>W7*3</f>
        <v>90</v>
      </c>
      <c r="Y7" s="131">
        <f>P7/AA7</f>
        <v>999328.58</v>
      </c>
      <c r="Z7" s="131">
        <f>P7/AB7</f>
        <v>3331095.2666666666</v>
      </c>
      <c r="AA7" s="130">
        <v>100</v>
      </c>
      <c r="AB7" s="130">
        <v>30</v>
      </c>
      <c r="AC7" s="129" t="s">
        <v>345</v>
      </c>
      <c r="AD7" s="129" t="s">
        <v>140</v>
      </c>
      <c r="AE7" s="133">
        <f>(AH7*10%)+(AJ7*10%)+(AK7*20%)+(AM7*10%)+(AO7*20%)+(AQ7*10%)+(AR7*5%)+(AT7*5%)+(AV7*5%)+(AX7*5%)</f>
        <v>0.625</v>
      </c>
      <c r="AF7" s="133">
        <f>(AI7*10%)+(AJ7*10%)+(AL7*20%)+(AN7*10%)+(AP7*20%)+(AQ7*10%)+(AS7*5%)+(AU7*5%)+(AW7*5%)+(AY7*5%)</f>
        <v>0.40999999999999992</v>
      </c>
      <c r="AG7" s="133">
        <f>(AE7*80%)+(AF7*20%)</f>
        <v>0.58199999999999996</v>
      </c>
      <c r="AH7" s="133">
        <v>0.7</v>
      </c>
      <c r="AI7" s="133">
        <v>0.7</v>
      </c>
      <c r="AJ7" s="133">
        <v>1</v>
      </c>
      <c r="AK7" s="133">
        <v>0.7</v>
      </c>
      <c r="AL7" s="133">
        <v>0</v>
      </c>
      <c r="AM7" s="133">
        <v>0</v>
      </c>
      <c r="AN7" s="133">
        <v>0</v>
      </c>
      <c r="AO7" s="133">
        <v>0.7</v>
      </c>
      <c r="AP7" s="133">
        <v>0.7</v>
      </c>
      <c r="AQ7" s="133">
        <v>1</v>
      </c>
      <c r="AR7" s="133">
        <v>0.5</v>
      </c>
      <c r="AS7" s="133">
        <v>0</v>
      </c>
      <c r="AT7" s="133">
        <v>0</v>
      </c>
      <c r="AU7" s="133">
        <v>0</v>
      </c>
      <c r="AV7" s="133">
        <v>1</v>
      </c>
      <c r="AW7" s="133">
        <v>0</v>
      </c>
      <c r="AX7" s="133">
        <v>0</v>
      </c>
      <c r="AY7" s="133">
        <v>0</v>
      </c>
      <c r="AZ7" s="420">
        <v>0</v>
      </c>
      <c r="BA7" s="421">
        <v>0</v>
      </c>
      <c r="BB7" s="421">
        <v>0</v>
      </c>
      <c r="BC7" s="421">
        <v>0</v>
      </c>
      <c r="BD7" s="421">
        <v>0</v>
      </c>
      <c r="BE7" s="421">
        <v>0</v>
      </c>
      <c r="BF7" s="421">
        <v>0</v>
      </c>
      <c r="BG7" s="421">
        <v>0</v>
      </c>
      <c r="BH7" s="421">
        <v>0</v>
      </c>
      <c r="BI7" s="421">
        <v>0</v>
      </c>
      <c r="BJ7" s="421">
        <v>0</v>
      </c>
      <c r="BK7" s="421">
        <v>0</v>
      </c>
      <c r="BL7" s="421">
        <v>0</v>
      </c>
      <c r="BM7" s="421">
        <v>0</v>
      </c>
      <c r="BN7" s="421">
        <v>0</v>
      </c>
      <c r="BO7" s="421">
        <v>0</v>
      </c>
      <c r="BP7" s="421">
        <v>0</v>
      </c>
      <c r="BQ7" s="421">
        <v>0</v>
      </c>
    </row>
    <row r="8" spans="1:69" x14ac:dyDescent="0.25">
      <c r="A8" s="129">
        <v>31</v>
      </c>
      <c r="B8" s="129">
        <v>7</v>
      </c>
      <c r="C8" s="159" t="s">
        <v>369</v>
      </c>
      <c r="D8" s="129" t="s">
        <v>369</v>
      </c>
      <c r="E8" s="129" t="s">
        <v>78</v>
      </c>
      <c r="F8" s="129" t="s">
        <v>370</v>
      </c>
      <c r="G8" s="129" t="s">
        <v>465</v>
      </c>
      <c r="H8" s="129" t="s">
        <v>371</v>
      </c>
      <c r="I8" s="159" t="s">
        <v>372</v>
      </c>
      <c r="J8" s="159" t="s">
        <v>373</v>
      </c>
      <c r="K8" s="159" t="s">
        <v>81</v>
      </c>
      <c r="L8" s="130">
        <v>3</v>
      </c>
      <c r="M8" s="394">
        <v>46478</v>
      </c>
      <c r="N8" s="394">
        <v>47209</v>
      </c>
      <c r="O8" s="394">
        <v>46283</v>
      </c>
      <c r="P8" s="188" t="s">
        <v>455</v>
      </c>
      <c r="Q8" s="188" t="s">
        <v>454</v>
      </c>
      <c r="R8" s="162" t="s">
        <v>416</v>
      </c>
      <c r="S8" s="132">
        <v>0.3</v>
      </c>
      <c r="T8" s="130">
        <f>AA8*S8</f>
        <v>101.7</v>
      </c>
      <c r="U8" s="130">
        <f>T8*3</f>
        <v>305.10000000000002</v>
      </c>
      <c r="V8" s="132">
        <f>AB8/AA8</f>
        <v>0.3</v>
      </c>
      <c r="W8" s="130">
        <f>AA8*V8</f>
        <v>101.7</v>
      </c>
      <c r="X8" s="130">
        <f>W8*3</f>
        <v>305.10000000000002</v>
      </c>
      <c r="Y8" s="131" t="e">
        <f>P8/AA8</f>
        <v>#VALUE!</v>
      </c>
      <c r="Z8" s="131" t="e">
        <f>P8/AB8</f>
        <v>#VALUE!</v>
      </c>
      <c r="AA8" s="130">
        <v>339</v>
      </c>
      <c r="AB8" s="130">
        <v>101.7</v>
      </c>
      <c r="AC8" s="129" t="s">
        <v>221</v>
      </c>
      <c r="AD8" s="129" t="s">
        <v>79</v>
      </c>
      <c r="AE8" s="133">
        <f>(AH8*10%)+(AJ8*10%)+(AK8*20%)+(AM8*10%)+(AO8*20%)+(AQ8*10%)+(AR8*5%)+(AT8*5%)+(AV8*5%)+(AX8*5%)</f>
        <v>0.83750000000000013</v>
      </c>
      <c r="AF8" s="133">
        <f>(AI8*10%)+(AJ8*10%)+(AL8*20%)+(AN8*10%)+(AP8*20%)+(AQ8*10%)+(AS8*5%)+(AU8*5%)+(AW8*5%)+(AY8*5%)</f>
        <v>0.83750000000000013</v>
      </c>
      <c r="AG8" s="133">
        <f>(AE8*80%)+(AF8*20%)</f>
        <v>0.83750000000000013</v>
      </c>
      <c r="AH8" s="133">
        <v>1</v>
      </c>
      <c r="AI8" s="133">
        <v>1</v>
      </c>
      <c r="AJ8" s="133">
        <v>0.8</v>
      </c>
      <c r="AK8" s="133">
        <v>0.9</v>
      </c>
      <c r="AL8" s="133">
        <v>0.9</v>
      </c>
      <c r="AM8" s="133">
        <v>1</v>
      </c>
      <c r="AN8" s="133">
        <v>1</v>
      </c>
      <c r="AO8" s="133">
        <v>1</v>
      </c>
      <c r="AP8" s="133">
        <v>1</v>
      </c>
      <c r="AQ8" s="133">
        <v>1</v>
      </c>
      <c r="AR8" s="133">
        <v>1</v>
      </c>
      <c r="AS8" s="133">
        <v>1</v>
      </c>
      <c r="AT8" s="133">
        <v>0.05</v>
      </c>
      <c r="AU8" s="133">
        <v>0.05</v>
      </c>
      <c r="AV8" s="133">
        <v>0.5</v>
      </c>
      <c r="AW8" s="133">
        <v>0.5</v>
      </c>
      <c r="AX8" s="133">
        <v>0</v>
      </c>
      <c r="AY8" s="133">
        <v>0</v>
      </c>
      <c r="AZ8" s="420" t="s">
        <v>60</v>
      </c>
      <c r="BA8" s="421">
        <v>0</v>
      </c>
      <c r="BB8" s="421" t="s">
        <v>423</v>
      </c>
      <c r="BC8" s="421" t="s">
        <v>425</v>
      </c>
      <c r="BD8" s="421">
        <v>0</v>
      </c>
      <c r="BE8" s="421" t="s">
        <v>59</v>
      </c>
      <c r="BF8" s="421">
        <v>0</v>
      </c>
      <c r="BG8" s="421" t="s">
        <v>60</v>
      </c>
      <c r="BH8" s="421">
        <v>0</v>
      </c>
      <c r="BI8" s="421" t="s">
        <v>59</v>
      </c>
      <c r="BJ8" s="421" t="s">
        <v>60</v>
      </c>
      <c r="BK8" s="421">
        <v>0</v>
      </c>
      <c r="BL8" s="421" t="s">
        <v>422</v>
      </c>
      <c r="BM8" s="421">
        <v>0</v>
      </c>
      <c r="BN8" s="421" t="s">
        <v>425</v>
      </c>
      <c r="BO8" s="421">
        <v>0</v>
      </c>
      <c r="BP8" s="421" t="s">
        <v>422</v>
      </c>
      <c r="BQ8" s="421">
        <v>0</v>
      </c>
    </row>
    <row r="9" spans="1:69" x14ac:dyDescent="0.25">
      <c r="A9" s="129">
        <v>32</v>
      </c>
      <c r="B9" s="129">
        <v>8</v>
      </c>
      <c r="C9" s="159" t="s">
        <v>375</v>
      </c>
      <c r="D9" s="129" t="s">
        <v>375</v>
      </c>
      <c r="E9" s="129" t="s">
        <v>82</v>
      </c>
      <c r="F9" s="129" t="s">
        <v>370</v>
      </c>
      <c r="G9" s="129" t="s">
        <v>465</v>
      </c>
      <c r="H9" s="129" t="s">
        <v>371</v>
      </c>
      <c r="I9" s="159" t="s">
        <v>376</v>
      </c>
      <c r="J9" s="159" t="s">
        <v>377</v>
      </c>
      <c r="K9" s="159" t="s">
        <v>83</v>
      </c>
      <c r="L9" s="130">
        <v>3</v>
      </c>
      <c r="M9" s="394">
        <v>46478</v>
      </c>
      <c r="N9" s="394">
        <v>47209</v>
      </c>
      <c r="O9" s="394">
        <v>46283</v>
      </c>
      <c r="P9" s="131">
        <v>925310833</v>
      </c>
      <c r="Q9" s="131" t="s">
        <v>454</v>
      </c>
      <c r="R9" s="162" t="s">
        <v>416</v>
      </c>
      <c r="S9" s="132">
        <v>0.3</v>
      </c>
      <c r="T9" s="130">
        <f>AA9*S9</f>
        <v>54</v>
      </c>
      <c r="U9" s="130">
        <f>T9*3</f>
        <v>162</v>
      </c>
      <c r="V9" s="132">
        <f>AB9/AA9</f>
        <v>0.3</v>
      </c>
      <c r="W9" s="130">
        <f>AA9*V9</f>
        <v>54</v>
      </c>
      <c r="X9" s="130">
        <f>W9*3</f>
        <v>162</v>
      </c>
      <c r="Y9" s="131">
        <f>P9/AA9</f>
        <v>5140615.7388888886</v>
      </c>
      <c r="Z9" s="131">
        <f>P9/AB9</f>
        <v>17135385.796296295</v>
      </c>
      <c r="AA9" s="130">
        <v>180</v>
      </c>
      <c r="AB9" s="130">
        <v>54</v>
      </c>
      <c r="AC9" s="129" t="s">
        <v>221</v>
      </c>
      <c r="AD9" s="129" t="s">
        <v>79</v>
      </c>
      <c r="AE9" s="133">
        <f>(AH9*10%)+(AJ9*10%)+(AK9*20%)+(AM9*10%)+(AO9*20%)+(AQ9*10%)+(AR9*5%)+(AT9*5%)+(AV9*5%)+(AX9*5%)</f>
        <v>0.83750000000000013</v>
      </c>
      <c r="AF9" s="133">
        <f>(AI9*10%)+(AJ9*10%)+(AL9*20%)+(AN9*10%)+(AP9*20%)+(AQ9*10%)+(AS9*5%)+(AU9*5%)+(AW9*5%)+(AY9*5%)</f>
        <v>0.83750000000000013</v>
      </c>
      <c r="AG9" s="133">
        <f>(AE9*80%)+(AF9*20%)</f>
        <v>0.83750000000000013</v>
      </c>
      <c r="AH9" s="133">
        <v>1</v>
      </c>
      <c r="AI9" s="133">
        <v>1</v>
      </c>
      <c r="AJ9" s="133">
        <v>0.8</v>
      </c>
      <c r="AK9" s="133">
        <v>0.9</v>
      </c>
      <c r="AL9" s="133">
        <v>0.9</v>
      </c>
      <c r="AM9" s="133">
        <v>1</v>
      </c>
      <c r="AN9" s="133">
        <v>1</v>
      </c>
      <c r="AO9" s="133">
        <v>1</v>
      </c>
      <c r="AP9" s="133">
        <v>1</v>
      </c>
      <c r="AQ9" s="133">
        <v>1</v>
      </c>
      <c r="AR9" s="133">
        <v>1</v>
      </c>
      <c r="AS9" s="133">
        <v>1</v>
      </c>
      <c r="AT9" s="133">
        <v>0.05</v>
      </c>
      <c r="AU9" s="133">
        <v>0.05</v>
      </c>
      <c r="AV9" s="133">
        <v>0.5</v>
      </c>
      <c r="AW9" s="133">
        <v>0.5</v>
      </c>
      <c r="AX9" s="133">
        <v>0</v>
      </c>
      <c r="AY9" s="133">
        <v>0</v>
      </c>
      <c r="AZ9" s="420" t="s">
        <v>60</v>
      </c>
      <c r="BA9" s="421">
        <v>0</v>
      </c>
      <c r="BB9" s="421" t="s">
        <v>423</v>
      </c>
      <c r="BC9" s="421" t="s">
        <v>425</v>
      </c>
      <c r="BD9" s="421">
        <v>0</v>
      </c>
      <c r="BE9" s="421" t="s">
        <v>59</v>
      </c>
      <c r="BF9" s="421">
        <v>0</v>
      </c>
      <c r="BG9" s="421" t="s">
        <v>60</v>
      </c>
      <c r="BH9" s="421">
        <v>0</v>
      </c>
      <c r="BI9" s="421" t="s">
        <v>59</v>
      </c>
      <c r="BJ9" s="421" t="s">
        <v>60</v>
      </c>
      <c r="BK9" s="421">
        <v>0</v>
      </c>
      <c r="BL9" s="421" t="s">
        <v>422</v>
      </c>
      <c r="BM9" s="421">
        <v>0</v>
      </c>
      <c r="BN9" s="421" t="s">
        <v>425</v>
      </c>
      <c r="BO9" s="421">
        <v>0</v>
      </c>
      <c r="BP9" s="421" t="s">
        <v>422</v>
      </c>
      <c r="BQ9" s="421">
        <v>0</v>
      </c>
    </row>
    <row r="10" spans="1:69" x14ac:dyDescent="0.25">
      <c r="A10" s="129">
        <v>33</v>
      </c>
      <c r="B10" s="129">
        <v>9</v>
      </c>
      <c r="C10" s="159" t="s">
        <v>378</v>
      </c>
      <c r="D10" s="129" t="s">
        <v>378</v>
      </c>
      <c r="E10" s="129" t="s">
        <v>88</v>
      </c>
      <c r="F10" s="129" t="s">
        <v>370</v>
      </c>
      <c r="G10" s="129" t="s">
        <v>465</v>
      </c>
      <c r="H10" s="129" t="s">
        <v>371</v>
      </c>
      <c r="I10" s="159" t="s">
        <v>372</v>
      </c>
      <c r="J10" s="159" t="s">
        <v>373</v>
      </c>
      <c r="K10" s="159" t="s">
        <v>81</v>
      </c>
      <c r="L10" s="130">
        <v>3</v>
      </c>
      <c r="M10" s="394">
        <v>46478</v>
      </c>
      <c r="N10" s="394">
        <v>47209</v>
      </c>
      <c r="O10" s="394">
        <v>46283</v>
      </c>
      <c r="P10" s="188" t="s">
        <v>455</v>
      </c>
      <c r="Q10" s="188" t="s">
        <v>454</v>
      </c>
      <c r="R10" s="162" t="s">
        <v>416</v>
      </c>
      <c r="S10" s="132">
        <v>0.3</v>
      </c>
      <c r="T10" s="130">
        <f>AA10*S10</f>
        <v>101.7</v>
      </c>
      <c r="U10" s="130">
        <f>T10*3</f>
        <v>305.10000000000002</v>
      </c>
      <c r="V10" s="132">
        <f>AB10/AA10</f>
        <v>0.3</v>
      </c>
      <c r="W10" s="130">
        <f>AA10*V10</f>
        <v>101.7</v>
      </c>
      <c r="X10" s="130">
        <f>W10*3</f>
        <v>305.10000000000002</v>
      </c>
      <c r="Y10" s="131" t="e">
        <f>P10/AA10</f>
        <v>#VALUE!</v>
      </c>
      <c r="Z10" s="131" t="e">
        <f>P10/AB10</f>
        <v>#VALUE!</v>
      </c>
      <c r="AA10" s="130">
        <v>339</v>
      </c>
      <c r="AB10" s="130">
        <v>101.7</v>
      </c>
      <c r="AC10" s="129" t="s">
        <v>221</v>
      </c>
      <c r="AD10" s="129" t="s">
        <v>79</v>
      </c>
      <c r="AE10" s="133">
        <f>(AH10*10%)+(AJ10*10%)+(AK10*20%)+(AM10*10%)+(AO10*20%)+(AQ10*10%)+(AR10*5%)+(AT10*5%)+(AV10*5%)+(AX10*5%)</f>
        <v>0.82750000000000012</v>
      </c>
      <c r="AF10" s="133">
        <f>(AI10*10%)+(AJ10*10%)+(AL10*20%)+(AN10*10%)+(AP10*20%)+(AQ10*10%)+(AS10*5%)+(AU10*5%)+(AW10*5%)+(AY10*5%)</f>
        <v>0.82750000000000012</v>
      </c>
      <c r="AG10" s="133">
        <f>(AE10*80%)+(AF10*20%)</f>
        <v>0.82750000000000012</v>
      </c>
      <c r="AH10" s="133">
        <v>1</v>
      </c>
      <c r="AI10" s="133">
        <v>1</v>
      </c>
      <c r="AJ10" s="133">
        <v>0.8</v>
      </c>
      <c r="AK10" s="133">
        <v>0.9</v>
      </c>
      <c r="AL10" s="133">
        <v>0.9</v>
      </c>
      <c r="AM10" s="133">
        <v>0.9</v>
      </c>
      <c r="AN10" s="133">
        <v>0.9</v>
      </c>
      <c r="AO10" s="133">
        <v>1</v>
      </c>
      <c r="AP10" s="133">
        <v>1</v>
      </c>
      <c r="AQ10" s="133">
        <v>1</v>
      </c>
      <c r="AR10" s="133">
        <v>1</v>
      </c>
      <c r="AS10" s="133">
        <v>1</v>
      </c>
      <c r="AT10" s="133">
        <v>0.05</v>
      </c>
      <c r="AU10" s="133">
        <v>0.05</v>
      </c>
      <c r="AV10" s="133">
        <v>0.5</v>
      </c>
      <c r="AW10" s="133">
        <v>0.5</v>
      </c>
      <c r="AX10" s="133">
        <v>0</v>
      </c>
      <c r="AY10" s="133">
        <v>0</v>
      </c>
      <c r="AZ10" s="420" t="s">
        <v>60</v>
      </c>
      <c r="BA10" s="421">
        <v>0</v>
      </c>
      <c r="BB10" s="421" t="s">
        <v>423</v>
      </c>
      <c r="BC10" s="421" t="s">
        <v>423</v>
      </c>
      <c r="BD10" s="421">
        <v>0</v>
      </c>
      <c r="BE10" s="421" t="s">
        <v>425</v>
      </c>
      <c r="BF10" s="421">
        <v>0</v>
      </c>
      <c r="BG10" s="421" t="s">
        <v>60</v>
      </c>
      <c r="BH10" s="421">
        <v>0</v>
      </c>
      <c r="BI10" s="421" t="s">
        <v>59</v>
      </c>
      <c r="BJ10" s="421" t="s">
        <v>60</v>
      </c>
      <c r="BK10" s="421">
        <v>0</v>
      </c>
      <c r="BL10" s="421" t="s">
        <v>422</v>
      </c>
      <c r="BM10" s="421">
        <v>0</v>
      </c>
      <c r="BN10" s="421" t="s">
        <v>59</v>
      </c>
      <c r="BO10" s="421">
        <v>0</v>
      </c>
      <c r="BP10" s="421" t="s">
        <v>422</v>
      </c>
      <c r="BQ10" s="421">
        <v>0</v>
      </c>
    </row>
    <row r="11" spans="1:69" x14ac:dyDescent="0.25">
      <c r="A11" s="140">
        <v>36</v>
      </c>
      <c r="B11" s="140">
        <v>10</v>
      </c>
      <c r="C11" s="140" t="s">
        <v>391</v>
      </c>
      <c r="D11" s="140" t="s">
        <v>391</v>
      </c>
      <c r="E11" s="140" t="s">
        <v>141</v>
      </c>
      <c r="F11" s="158" t="s">
        <v>392</v>
      </c>
      <c r="G11" s="140" t="s">
        <v>465</v>
      </c>
      <c r="H11" s="140" t="s">
        <v>355</v>
      </c>
      <c r="I11" s="140" t="s">
        <v>314</v>
      </c>
      <c r="J11" s="140" t="s">
        <v>393</v>
      </c>
      <c r="K11" s="140" t="s">
        <v>142</v>
      </c>
      <c r="L11" s="141" t="s">
        <v>389</v>
      </c>
      <c r="M11" s="396">
        <v>46507</v>
      </c>
      <c r="N11" s="396">
        <v>47238</v>
      </c>
      <c r="O11" s="396" t="s">
        <v>374</v>
      </c>
      <c r="P11" s="142" t="s">
        <v>374</v>
      </c>
      <c r="Q11" s="142" t="s">
        <v>454</v>
      </c>
      <c r="R11" s="142" t="s">
        <v>374</v>
      </c>
      <c r="S11" s="427">
        <v>0.3</v>
      </c>
      <c r="T11" s="141">
        <f>AA11*S11</f>
        <v>90</v>
      </c>
      <c r="U11" s="141">
        <f>T11*3</f>
        <v>270</v>
      </c>
      <c r="V11" s="427">
        <f>AB11/AA11</f>
        <v>0.3</v>
      </c>
      <c r="W11" s="141">
        <f>AA11*V11</f>
        <v>90</v>
      </c>
      <c r="X11" s="141">
        <f>W11*3</f>
        <v>270</v>
      </c>
      <c r="Y11" s="143" t="e">
        <f>P11/AA11</f>
        <v>#VALUE!</v>
      </c>
      <c r="Z11" s="143" t="e">
        <f>P11/AB11</f>
        <v>#VALUE!</v>
      </c>
      <c r="AA11" s="141">
        <v>300</v>
      </c>
      <c r="AB11" s="141">
        <v>90</v>
      </c>
      <c r="AC11" s="140" t="s">
        <v>226</v>
      </c>
      <c r="AD11" s="140" t="s">
        <v>94</v>
      </c>
      <c r="AE11" s="428">
        <f>(AH11*10%)+(AJ11*10%)+(AK11*20%)+(AM11*10%)+(AO11*20%)+(AQ11*10%)+(AR11*5%)+(AT11*5%)+(AV11*5%)+(AX11*5%)</f>
        <v>0.35000000000000003</v>
      </c>
      <c r="AF11" s="428">
        <f>(AI11*10%)+(AJ11*10%)+(AL11*20%)+(AN11*10%)+(AP11*20%)+(AQ11*10%)+(AS11*5%)+(AU11*5%)+(AW11*5%)+(AY11*5%)</f>
        <v>0.40000000000000008</v>
      </c>
      <c r="AG11" s="428">
        <f>(AE11*80%)+(AF11*20%)</f>
        <v>0.36000000000000004</v>
      </c>
      <c r="AH11" s="428">
        <v>0.5</v>
      </c>
      <c r="AI11" s="428">
        <v>1</v>
      </c>
      <c r="AJ11" s="428">
        <v>0</v>
      </c>
      <c r="AK11" s="428">
        <v>0</v>
      </c>
      <c r="AL11" s="428">
        <v>0</v>
      </c>
      <c r="AM11" s="428">
        <v>0</v>
      </c>
      <c r="AN11" s="428">
        <v>0</v>
      </c>
      <c r="AO11" s="428">
        <v>0.5</v>
      </c>
      <c r="AP11" s="428">
        <v>0.5</v>
      </c>
      <c r="AQ11" s="428">
        <v>1</v>
      </c>
      <c r="AR11" s="428">
        <v>1</v>
      </c>
      <c r="AS11" s="428">
        <v>1</v>
      </c>
      <c r="AT11" s="428">
        <v>0.5</v>
      </c>
      <c r="AU11" s="428">
        <v>0.5</v>
      </c>
      <c r="AV11" s="428">
        <v>0.5</v>
      </c>
      <c r="AW11" s="428">
        <v>0.5</v>
      </c>
      <c r="AX11" s="428">
        <v>0</v>
      </c>
      <c r="AY11" s="428">
        <v>0</v>
      </c>
      <c r="AZ11" s="429">
        <v>0</v>
      </c>
      <c r="BA11" s="430">
        <v>0</v>
      </c>
      <c r="BB11" s="430">
        <v>0</v>
      </c>
      <c r="BC11" s="430">
        <v>0</v>
      </c>
      <c r="BD11" s="430">
        <v>0</v>
      </c>
      <c r="BE11" s="430">
        <v>0</v>
      </c>
      <c r="BF11" s="430">
        <v>0</v>
      </c>
      <c r="BG11" s="430">
        <v>0</v>
      </c>
      <c r="BH11" s="430">
        <v>0</v>
      </c>
      <c r="BI11" s="430">
        <v>0</v>
      </c>
      <c r="BJ11" s="430">
        <v>0</v>
      </c>
      <c r="BK11" s="430">
        <v>0</v>
      </c>
      <c r="BL11" s="430">
        <v>0</v>
      </c>
      <c r="BM11" s="430">
        <v>0</v>
      </c>
      <c r="BN11" s="430">
        <v>0</v>
      </c>
      <c r="BO11" s="430">
        <v>0</v>
      </c>
      <c r="BP11" s="430">
        <v>0</v>
      </c>
      <c r="BQ11" s="430">
        <v>0</v>
      </c>
    </row>
    <row r="12" spans="1:69" x14ac:dyDescent="0.25">
      <c r="A12" s="140">
        <v>38</v>
      </c>
      <c r="B12" s="140">
        <v>11</v>
      </c>
      <c r="C12" s="140" t="s">
        <v>395</v>
      </c>
      <c r="D12" s="140" t="s">
        <v>395</v>
      </c>
      <c r="E12" s="140" t="s">
        <v>143</v>
      </c>
      <c r="F12" s="158" t="s">
        <v>392</v>
      </c>
      <c r="G12" s="140" t="s">
        <v>465</v>
      </c>
      <c r="H12" s="140" t="s">
        <v>355</v>
      </c>
      <c r="I12" s="140" t="s">
        <v>314</v>
      </c>
      <c r="J12" s="140" t="s">
        <v>393</v>
      </c>
      <c r="K12" s="140" t="s">
        <v>142</v>
      </c>
      <c r="L12" s="141" t="s">
        <v>389</v>
      </c>
      <c r="M12" s="396">
        <v>46507</v>
      </c>
      <c r="N12" s="396">
        <v>47238</v>
      </c>
      <c r="O12" s="396" t="s">
        <v>374</v>
      </c>
      <c r="P12" s="142" t="s">
        <v>374</v>
      </c>
      <c r="Q12" s="142" t="s">
        <v>454</v>
      </c>
      <c r="R12" s="142" t="s">
        <v>374</v>
      </c>
      <c r="S12" s="427">
        <v>0.3</v>
      </c>
      <c r="T12" s="141">
        <f>AA12*S12</f>
        <v>90</v>
      </c>
      <c r="U12" s="141">
        <f>T12*3</f>
        <v>270</v>
      </c>
      <c r="V12" s="427">
        <f>AB12/AA12</f>
        <v>0.3</v>
      </c>
      <c r="W12" s="141">
        <f>AA12*V12</f>
        <v>90</v>
      </c>
      <c r="X12" s="141">
        <f>W12*3</f>
        <v>270</v>
      </c>
      <c r="Y12" s="143" t="e">
        <f>P12/AA12</f>
        <v>#VALUE!</v>
      </c>
      <c r="Z12" s="143" t="e">
        <f>P12/AB12</f>
        <v>#VALUE!</v>
      </c>
      <c r="AA12" s="141">
        <v>300</v>
      </c>
      <c r="AB12" s="141">
        <v>90</v>
      </c>
      <c r="AC12" s="140" t="s">
        <v>226</v>
      </c>
      <c r="AD12" s="140" t="s">
        <v>94</v>
      </c>
      <c r="AE12" s="428">
        <f>(AH12*10%)+(AJ12*10%)+(AK12*20%)+(AM12*10%)+(AO12*20%)+(AQ12*10%)+(AR12*5%)+(AT12*5%)+(AV12*5%)+(AX12*5%)</f>
        <v>0.35000000000000003</v>
      </c>
      <c r="AF12" s="428">
        <f>(AI12*10%)+(AJ12*10%)+(AL12*20%)+(AN12*10%)+(AP12*20%)+(AQ12*10%)+(AS12*5%)+(AU12*5%)+(AW12*5%)+(AY12*5%)</f>
        <v>0.35000000000000003</v>
      </c>
      <c r="AG12" s="428">
        <f>(AE12*80%)+(AF12*20%)</f>
        <v>0.35000000000000003</v>
      </c>
      <c r="AH12" s="428">
        <v>0.5</v>
      </c>
      <c r="AI12" s="428">
        <v>0.5</v>
      </c>
      <c r="AJ12" s="428">
        <v>0</v>
      </c>
      <c r="AK12" s="428">
        <v>0</v>
      </c>
      <c r="AL12" s="428">
        <v>0</v>
      </c>
      <c r="AM12" s="428">
        <v>0</v>
      </c>
      <c r="AN12" s="428">
        <v>0</v>
      </c>
      <c r="AO12" s="428">
        <v>0.5</v>
      </c>
      <c r="AP12" s="428">
        <v>0.5</v>
      </c>
      <c r="AQ12" s="428">
        <v>1</v>
      </c>
      <c r="AR12" s="428">
        <v>1</v>
      </c>
      <c r="AS12" s="428">
        <v>1</v>
      </c>
      <c r="AT12" s="428">
        <v>0.5</v>
      </c>
      <c r="AU12" s="428">
        <v>0.5</v>
      </c>
      <c r="AV12" s="428">
        <v>0</v>
      </c>
      <c r="AW12" s="428">
        <v>0</v>
      </c>
      <c r="AX12" s="428">
        <v>0.5</v>
      </c>
      <c r="AY12" s="428">
        <v>0.5</v>
      </c>
      <c r="AZ12" s="429">
        <v>0</v>
      </c>
      <c r="BA12" s="430">
        <v>0</v>
      </c>
      <c r="BB12" s="430">
        <v>0</v>
      </c>
      <c r="BC12" s="430">
        <v>0</v>
      </c>
      <c r="BD12" s="430">
        <v>0</v>
      </c>
      <c r="BE12" s="430">
        <v>0</v>
      </c>
      <c r="BF12" s="430">
        <v>0</v>
      </c>
      <c r="BG12" s="430">
        <v>0</v>
      </c>
      <c r="BH12" s="430">
        <v>0</v>
      </c>
      <c r="BI12" s="430">
        <v>0</v>
      </c>
      <c r="BJ12" s="430">
        <v>0</v>
      </c>
      <c r="BK12" s="430">
        <v>0</v>
      </c>
      <c r="BL12" s="430">
        <v>0</v>
      </c>
      <c r="BM12" s="430">
        <v>0</v>
      </c>
      <c r="BN12" s="430">
        <v>0</v>
      </c>
      <c r="BO12" s="430">
        <v>0</v>
      </c>
      <c r="BP12" s="430">
        <v>0</v>
      </c>
      <c r="BQ12" s="430">
        <v>0</v>
      </c>
    </row>
    <row r="13" spans="1:69" x14ac:dyDescent="0.25">
      <c r="A13" s="140">
        <v>37</v>
      </c>
      <c r="B13" s="140">
        <v>12</v>
      </c>
      <c r="C13" s="140" t="s">
        <v>394</v>
      </c>
      <c r="D13" s="140" t="s">
        <v>394</v>
      </c>
      <c r="E13" s="140" t="s">
        <v>144</v>
      </c>
      <c r="F13" s="158" t="s">
        <v>392</v>
      </c>
      <c r="G13" s="140" t="s">
        <v>465</v>
      </c>
      <c r="H13" s="140" t="s">
        <v>355</v>
      </c>
      <c r="I13" s="140" t="s">
        <v>314</v>
      </c>
      <c r="J13" s="140" t="s">
        <v>393</v>
      </c>
      <c r="K13" s="140" t="s">
        <v>142</v>
      </c>
      <c r="L13" s="141" t="s">
        <v>389</v>
      </c>
      <c r="M13" s="396">
        <v>46507</v>
      </c>
      <c r="N13" s="396">
        <v>47238</v>
      </c>
      <c r="O13" s="396" t="s">
        <v>374</v>
      </c>
      <c r="P13" s="142" t="s">
        <v>374</v>
      </c>
      <c r="Q13" s="142" t="s">
        <v>454</v>
      </c>
      <c r="R13" s="142" t="s">
        <v>374</v>
      </c>
      <c r="S13" s="427">
        <v>0.3</v>
      </c>
      <c r="T13" s="141">
        <f>AA13*S13</f>
        <v>90</v>
      </c>
      <c r="U13" s="141">
        <f>T13*3</f>
        <v>270</v>
      </c>
      <c r="V13" s="427">
        <f>AB13/AA13</f>
        <v>0.3</v>
      </c>
      <c r="W13" s="141">
        <f>AA13*V13</f>
        <v>90</v>
      </c>
      <c r="X13" s="141">
        <f>W13*3</f>
        <v>270</v>
      </c>
      <c r="Y13" s="143" t="e">
        <f>P13/AA13</f>
        <v>#VALUE!</v>
      </c>
      <c r="Z13" s="143" t="e">
        <f>P13/AB13</f>
        <v>#VALUE!</v>
      </c>
      <c r="AA13" s="141">
        <v>300</v>
      </c>
      <c r="AB13" s="141">
        <v>90</v>
      </c>
      <c r="AC13" s="140" t="s">
        <v>226</v>
      </c>
      <c r="AD13" s="140" t="s">
        <v>94</v>
      </c>
      <c r="AE13" s="428">
        <f>(AH13*10%)+(AJ13*10%)+(AK13*20%)+(AM13*10%)+(AO13*20%)+(AQ13*10%)+(AR13*5%)+(AT13*5%)+(AV13*5%)+(AX13*5%)</f>
        <v>0.49000000000000005</v>
      </c>
      <c r="AF13" s="428">
        <f>(AI13*10%)+(AJ13*10%)+(AL13*20%)+(AN13*10%)+(AP13*20%)+(AQ13*10%)+(AS13*5%)+(AU13*5%)+(AW13*5%)+(AY13*5%)</f>
        <v>0.53999999999999992</v>
      </c>
      <c r="AG13" s="428">
        <f>(AE13*80%)+(AF13*20%)</f>
        <v>0.5</v>
      </c>
      <c r="AH13" s="428">
        <v>0.5</v>
      </c>
      <c r="AI13" s="428">
        <v>1</v>
      </c>
      <c r="AJ13" s="428">
        <v>0</v>
      </c>
      <c r="AK13" s="428">
        <v>0.6</v>
      </c>
      <c r="AL13" s="428">
        <v>0.6</v>
      </c>
      <c r="AM13" s="428">
        <v>0</v>
      </c>
      <c r="AN13" s="428">
        <v>0</v>
      </c>
      <c r="AO13" s="428">
        <v>0.6</v>
      </c>
      <c r="AP13" s="428">
        <v>0.6</v>
      </c>
      <c r="AQ13" s="428">
        <v>1</v>
      </c>
      <c r="AR13" s="428">
        <v>1</v>
      </c>
      <c r="AS13" s="428">
        <v>1</v>
      </c>
      <c r="AT13" s="428">
        <v>0.5</v>
      </c>
      <c r="AU13" s="428">
        <v>0.5</v>
      </c>
      <c r="AV13" s="428">
        <v>0</v>
      </c>
      <c r="AW13" s="428">
        <v>0</v>
      </c>
      <c r="AX13" s="428">
        <v>0.5</v>
      </c>
      <c r="AY13" s="428">
        <v>0.5</v>
      </c>
      <c r="AZ13" s="429">
        <v>0</v>
      </c>
      <c r="BA13" s="430">
        <v>0</v>
      </c>
      <c r="BB13" s="430">
        <v>0</v>
      </c>
      <c r="BC13" s="430">
        <v>0</v>
      </c>
      <c r="BD13" s="430">
        <v>0</v>
      </c>
      <c r="BE13" s="430">
        <v>0</v>
      </c>
      <c r="BF13" s="430">
        <v>0</v>
      </c>
      <c r="BG13" s="430">
        <v>0</v>
      </c>
      <c r="BH13" s="430">
        <v>0</v>
      </c>
      <c r="BI13" s="430">
        <v>0</v>
      </c>
      <c r="BJ13" s="430">
        <v>0</v>
      </c>
      <c r="BK13" s="430">
        <v>0</v>
      </c>
      <c r="BL13" s="430">
        <v>0</v>
      </c>
      <c r="BM13" s="430">
        <v>0</v>
      </c>
      <c r="BN13" s="430">
        <v>0</v>
      </c>
      <c r="BO13" s="430">
        <v>0</v>
      </c>
      <c r="BP13" s="430">
        <v>0</v>
      </c>
      <c r="BQ13" s="430">
        <v>0</v>
      </c>
    </row>
    <row r="14" spans="1:69" x14ac:dyDescent="0.25">
      <c r="A14" s="129">
        <v>22</v>
      </c>
      <c r="B14" s="129">
        <v>13</v>
      </c>
      <c r="C14" s="129" t="s">
        <v>328</v>
      </c>
      <c r="D14" s="129" t="s">
        <v>328</v>
      </c>
      <c r="E14" s="129" t="s">
        <v>65</v>
      </c>
      <c r="F14" s="129" t="s">
        <v>312</v>
      </c>
      <c r="G14" s="129" t="s">
        <v>465</v>
      </c>
      <c r="H14" s="129" t="s">
        <v>329</v>
      </c>
      <c r="I14" s="129" t="s">
        <v>330</v>
      </c>
      <c r="J14" s="129" t="s">
        <v>331</v>
      </c>
      <c r="K14" s="129" t="s">
        <v>68</v>
      </c>
      <c r="L14" s="130">
        <v>3.2</v>
      </c>
      <c r="M14" s="394">
        <v>46388</v>
      </c>
      <c r="N14" s="394">
        <v>46935</v>
      </c>
      <c r="O14" s="394">
        <v>46206</v>
      </c>
      <c r="P14" s="131">
        <v>112351023</v>
      </c>
      <c r="Q14" s="131" t="s">
        <v>453</v>
      </c>
      <c r="R14" s="129" t="s">
        <v>316</v>
      </c>
      <c r="S14" s="132">
        <v>0.3</v>
      </c>
      <c r="T14" s="130">
        <f>AA14*S14</f>
        <v>23.4</v>
      </c>
      <c r="U14" s="130">
        <f>T14*3</f>
        <v>70.199999999999989</v>
      </c>
      <c r="V14" s="132">
        <f>AB14/AA14</f>
        <v>0.32935897435897438</v>
      </c>
      <c r="W14" s="130">
        <f>AA14*V14</f>
        <v>25.69</v>
      </c>
      <c r="X14" s="130">
        <f>W14*3</f>
        <v>77.070000000000007</v>
      </c>
      <c r="Y14" s="131">
        <f>P14/AA14</f>
        <v>1440397.7307692308</v>
      </c>
      <c r="Z14" s="131">
        <f>P14/AB14</f>
        <v>4373336.8236667961</v>
      </c>
      <c r="AA14" s="130">
        <v>78</v>
      </c>
      <c r="AB14" s="130">
        <v>25.69</v>
      </c>
      <c r="AC14" s="129" t="s">
        <v>248</v>
      </c>
      <c r="AD14" s="129" t="s">
        <v>66</v>
      </c>
      <c r="AE14" s="133">
        <f>(AH14*10%)+(AJ14*10%)+(AK14*20%)+(AM14*10%)+(AO14*20%)+(AQ14*10%)+(AR14*5%)+(AT14*5%)+(AV14*5%)+(AX14*5%)</f>
        <v>0.94000000000000017</v>
      </c>
      <c r="AF14" s="133">
        <f>(AI14*10%)+(AJ14*10%)+(AL14*20%)+(AN14*10%)+(AP14*20%)+(AQ14*10%)+(AS14*5%)+(AU14*5%)+(AW14*5%)+(AY14*5%)</f>
        <v>0.93000000000000016</v>
      </c>
      <c r="AG14" s="133">
        <f>(AE14*80%)+(AF14*20%)</f>
        <v>0.93800000000000028</v>
      </c>
      <c r="AH14" s="133">
        <v>1</v>
      </c>
      <c r="AI14" s="133">
        <v>0.9</v>
      </c>
      <c r="AJ14" s="133">
        <v>1</v>
      </c>
      <c r="AK14" s="133">
        <v>1</v>
      </c>
      <c r="AL14" s="133">
        <v>1</v>
      </c>
      <c r="AM14" s="133">
        <v>0.9</v>
      </c>
      <c r="AN14" s="133">
        <v>0.9</v>
      </c>
      <c r="AO14" s="133">
        <v>1</v>
      </c>
      <c r="AP14" s="133">
        <v>1</v>
      </c>
      <c r="AQ14" s="133">
        <v>1</v>
      </c>
      <c r="AR14" s="133">
        <v>1</v>
      </c>
      <c r="AS14" s="133">
        <v>1</v>
      </c>
      <c r="AT14" s="133">
        <v>0.5</v>
      </c>
      <c r="AU14" s="133">
        <v>0.5</v>
      </c>
      <c r="AV14" s="133">
        <v>1</v>
      </c>
      <c r="AW14" s="133">
        <v>1</v>
      </c>
      <c r="AX14" s="133">
        <v>0.5</v>
      </c>
      <c r="AY14" s="133">
        <v>0.5</v>
      </c>
      <c r="AZ14" s="420" t="s">
        <v>60</v>
      </c>
      <c r="BA14" s="421">
        <v>0</v>
      </c>
      <c r="BB14" s="421" t="s">
        <v>60</v>
      </c>
      <c r="BC14" s="421" t="s">
        <v>60</v>
      </c>
      <c r="BD14" s="421">
        <v>0</v>
      </c>
      <c r="BE14" s="421" t="s">
        <v>425</v>
      </c>
      <c r="BF14" s="421">
        <v>0</v>
      </c>
      <c r="BG14" s="421" t="s">
        <v>60</v>
      </c>
      <c r="BH14" s="421">
        <v>0</v>
      </c>
      <c r="BI14" s="421" t="s">
        <v>59</v>
      </c>
      <c r="BJ14" s="421" t="s">
        <v>60</v>
      </c>
      <c r="BK14" s="421">
        <v>0</v>
      </c>
      <c r="BL14" s="421" t="s">
        <v>425</v>
      </c>
      <c r="BM14" s="421">
        <v>0</v>
      </c>
      <c r="BN14" s="421" t="s">
        <v>60</v>
      </c>
      <c r="BO14" s="421">
        <v>0</v>
      </c>
      <c r="BP14" s="421" t="s">
        <v>422</v>
      </c>
      <c r="BQ14" s="421">
        <v>0</v>
      </c>
    </row>
    <row r="15" spans="1:69" x14ac:dyDescent="0.25">
      <c r="A15" s="129">
        <v>19</v>
      </c>
      <c r="B15" s="129">
        <v>14</v>
      </c>
      <c r="C15" s="129" t="s">
        <v>318</v>
      </c>
      <c r="D15" s="129" t="s">
        <v>318</v>
      </c>
      <c r="E15" s="129" t="s">
        <v>103</v>
      </c>
      <c r="F15" s="129" t="s">
        <v>312</v>
      </c>
      <c r="G15" s="129" t="s">
        <v>465</v>
      </c>
      <c r="H15" s="129" t="s">
        <v>319</v>
      </c>
      <c r="I15" s="129" t="s">
        <v>320</v>
      </c>
      <c r="J15" s="129" t="s">
        <v>321</v>
      </c>
      <c r="K15" s="129" t="s">
        <v>105</v>
      </c>
      <c r="L15" s="130">
        <v>3</v>
      </c>
      <c r="M15" s="394">
        <v>46507</v>
      </c>
      <c r="N15" s="394">
        <v>47088</v>
      </c>
      <c r="O15" s="394">
        <v>46206</v>
      </c>
      <c r="P15" s="131">
        <v>111538383</v>
      </c>
      <c r="Q15" s="131" t="s">
        <v>454</v>
      </c>
      <c r="R15" s="129" t="s">
        <v>316</v>
      </c>
      <c r="S15" s="132">
        <v>0.3</v>
      </c>
      <c r="T15" s="130">
        <f>AA15*S15</f>
        <v>21.599999999999998</v>
      </c>
      <c r="U15" s="130">
        <f>T15*3</f>
        <v>64.8</v>
      </c>
      <c r="V15" s="132">
        <f>AB15/AA15</f>
        <v>0.30000000000000004</v>
      </c>
      <c r="W15" s="130">
        <f>AA15*V15</f>
        <v>21.6</v>
      </c>
      <c r="X15" s="130">
        <f>W15*3</f>
        <v>64.800000000000011</v>
      </c>
      <c r="Y15" s="131">
        <f>P15/AA15</f>
        <v>1549144.2083333333</v>
      </c>
      <c r="Z15" s="131">
        <f>P15/AB15</f>
        <v>5163814.0277777771</v>
      </c>
      <c r="AA15" s="130">
        <v>72</v>
      </c>
      <c r="AB15" s="130">
        <v>21.6</v>
      </c>
      <c r="AC15" s="129" t="s">
        <v>240</v>
      </c>
      <c r="AD15" s="129" t="s">
        <v>104</v>
      </c>
      <c r="AE15" s="133">
        <f>(AH15*10%)+(AJ15*10%)+(AK15*20%)+(AM15*10%)+(AO15*20%)+(AQ15*10%)+(AR15*5%)+(AT15*5%)+(AV15*5%)+(AX15*5%)</f>
        <v>0.75000000000000022</v>
      </c>
      <c r="AF15" s="133">
        <f>(AI15*10%)+(AJ15*10%)+(AL15*20%)+(AN15*10%)+(AP15*20%)+(AQ15*10%)+(AS15*5%)+(AU15*5%)+(AW15*5%)+(AY15*5%)</f>
        <v>0.75000000000000022</v>
      </c>
      <c r="AG15" s="133">
        <f>(AE15*80%)+(AF15*20%)</f>
        <v>0.75000000000000022</v>
      </c>
      <c r="AH15" s="133">
        <v>0.8</v>
      </c>
      <c r="AI15" s="133">
        <v>0.8</v>
      </c>
      <c r="AJ15" s="133">
        <v>1</v>
      </c>
      <c r="AK15" s="133">
        <v>0.8</v>
      </c>
      <c r="AL15" s="133">
        <v>0.8</v>
      </c>
      <c r="AM15" s="133">
        <v>1</v>
      </c>
      <c r="AN15" s="133">
        <v>1</v>
      </c>
      <c r="AO15" s="133">
        <v>0.8</v>
      </c>
      <c r="AP15" s="133">
        <v>0.8</v>
      </c>
      <c r="AQ15" s="133">
        <v>0</v>
      </c>
      <c r="AR15" s="133">
        <v>0.5</v>
      </c>
      <c r="AS15" s="133">
        <v>0.5</v>
      </c>
      <c r="AT15" s="133">
        <v>1</v>
      </c>
      <c r="AU15" s="133">
        <v>1</v>
      </c>
      <c r="AV15" s="133">
        <v>1</v>
      </c>
      <c r="AW15" s="133">
        <v>1</v>
      </c>
      <c r="AX15" s="133">
        <v>0.5</v>
      </c>
      <c r="AY15" s="133">
        <v>0.5</v>
      </c>
      <c r="AZ15" s="420">
        <v>0</v>
      </c>
      <c r="BA15" s="421">
        <v>0</v>
      </c>
      <c r="BB15" s="421">
        <v>0</v>
      </c>
      <c r="BC15" s="421">
        <v>0</v>
      </c>
      <c r="BD15" s="421">
        <v>0</v>
      </c>
      <c r="BE15" s="421">
        <v>0</v>
      </c>
      <c r="BF15" s="421">
        <v>0</v>
      </c>
      <c r="BG15" s="421">
        <v>0</v>
      </c>
      <c r="BH15" s="421">
        <v>0</v>
      </c>
      <c r="BI15" s="421">
        <v>0</v>
      </c>
      <c r="BJ15" s="421">
        <v>0</v>
      </c>
      <c r="BK15" s="421">
        <v>0</v>
      </c>
      <c r="BL15" s="421">
        <v>0</v>
      </c>
      <c r="BM15" s="421">
        <v>0</v>
      </c>
      <c r="BN15" s="421">
        <v>0</v>
      </c>
      <c r="BO15" s="421">
        <v>0</v>
      </c>
      <c r="BP15" s="421">
        <v>0</v>
      </c>
      <c r="BQ15" s="421">
        <v>0</v>
      </c>
    </row>
    <row r="16" spans="1:69" x14ac:dyDescent="0.25">
      <c r="A16" s="129">
        <v>18</v>
      </c>
      <c r="B16" s="129">
        <v>15</v>
      </c>
      <c r="C16" s="129" t="s">
        <v>311</v>
      </c>
      <c r="D16" s="129" t="s">
        <v>311</v>
      </c>
      <c r="E16" s="129" t="s">
        <v>145</v>
      </c>
      <c r="F16" s="129" t="s">
        <v>312</v>
      </c>
      <c r="G16" s="129" t="s">
        <v>466</v>
      </c>
      <c r="H16" s="129" t="s">
        <v>313</v>
      </c>
      <c r="I16" s="129" t="s">
        <v>314</v>
      </c>
      <c r="J16" s="129" t="s">
        <v>315</v>
      </c>
      <c r="K16" s="129" t="s">
        <v>142</v>
      </c>
      <c r="L16" s="130">
        <v>3</v>
      </c>
      <c r="M16" s="394">
        <v>46507</v>
      </c>
      <c r="N16" s="394">
        <v>47300</v>
      </c>
      <c r="O16" s="394">
        <v>46206</v>
      </c>
      <c r="P16" s="131">
        <v>563085927</v>
      </c>
      <c r="Q16" s="131" t="s">
        <v>454</v>
      </c>
      <c r="R16" s="129" t="s">
        <v>316</v>
      </c>
      <c r="S16" s="132">
        <v>0.3</v>
      </c>
      <c r="T16" s="130">
        <f>AA16*S16</f>
        <v>90</v>
      </c>
      <c r="U16" s="130">
        <f>T16*3</f>
        <v>270</v>
      </c>
      <c r="V16" s="132">
        <f>AB16/AA16</f>
        <v>0.3</v>
      </c>
      <c r="W16" s="130">
        <f>AA16*V16</f>
        <v>90</v>
      </c>
      <c r="X16" s="130">
        <f>W16*3</f>
        <v>270</v>
      </c>
      <c r="Y16" s="131">
        <f>P16/AA16</f>
        <v>1876953.09</v>
      </c>
      <c r="Z16" s="131">
        <f>P16/AB16</f>
        <v>6256510.2999999998</v>
      </c>
      <c r="AA16" s="130">
        <v>300</v>
      </c>
      <c r="AB16" s="130">
        <v>90</v>
      </c>
      <c r="AC16" s="129" t="s">
        <v>317</v>
      </c>
      <c r="AD16" s="129" t="s">
        <v>146</v>
      </c>
      <c r="AE16" s="133">
        <f>(AH16*10%)+(AJ16*10%)+(AK16*20%)+(AM16*10%)+(AO16*20%)+(AQ16*10%)+(AR16*5%)+(AT16*5%)+(AV16*5%)+(AX16*5%)</f>
        <v>0.4</v>
      </c>
      <c r="AF16" s="133">
        <f>(AI16*10%)+(AJ16*10%)+(AL16*20%)+(AN16*10%)+(AP16*20%)+(AQ16*10%)+(AS16*5%)+(AU16*5%)+(AW16*5%)+(AY16*5%)</f>
        <v>0.34</v>
      </c>
      <c r="AG16" s="133">
        <f>(AE16*80%)+(AF16*20%)</f>
        <v>0.38800000000000007</v>
      </c>
      <c r="AH16" s="133">
        <v>1</v>
      </c>
      <c r="AI16" s="133">
        <v>0.5</v>
      </c>
      <c r="AJ16" s="133">
        <v>0.9</v>
      </c>
      <c r="AK16" s="133">
        <v>0.5</v>
      </c>
      <c r="AL16" s="133">
        <v>0</v>
      </c>
      <c r="AM16" s="133">
        <v>0</v>
      </c>
      <c r="AN16" s="133">
        <v>0</v>
      </c>
      <c r="AO16" s="133">
        <v>0.05</v>
      </c>
      <c r="AP16" s="133">
        <v>0.5</v>
      </c>
      <c r="AQ16" s="133">
        <v>1</v>
      </c>
      <c r="AR16" s="133">
        <v>0</v>
      </c>
      <c r="AS16" s="133">
        <v>0</v>
      </c>
      <c r="AT16" s="133">
        <v>0</v>
      </c>
      <c r="AU16" s="133">
        <v>0</v>
      </c>
      <c r="AV16" s="133">
        <v>0</v>
      </c>
      <c r="AW16" s="133">
        <v>0</v>
      </c>
      <c r="AX16" s="133">
        <v>0</v>
      </c>
      <c r="AY16" s="133">
        <v>0</v>
      </c>
      <c r="AZ16" s="420">
        <v>0</v>
      </c>
      <c r="BA16" s="421">
        <v>0</v>
      </c>
      <c r="BB16" s="421">
        <v>0</v>
      </c>
      <c r="BC16" s="421">
        <v>0</v>
      </c>
      <c r="BD16" s="421">
        <v>0</v>
      </c>
      <c r="BE16" s="421">
        <v>0</v>
      </c>
      <c r="BF16" s="421">
        <v>0</v>
      </c>
      <c r="BG16" s="421">
        <v>0</v>
      </c>
      <c r="BH16" s="421">
        <v>0</v>
      </c>
      <c r="BI16" s="421">
        <v>0</v>
      </c>
      <c r="BJ16" s="421">
        <v>0</v>
      </c>
      <c r="BK16" s="421">
        <v>0</v>
      </c>
      <c r="BL16" s="421">
        <v>0</v>
      </c>
      <c r="BM16" s="421">
        <v>0</v>
      </c>
      <c r="BN16" s="421">
        <v>0</v>
      </c>
      <c r="BO16" s="421">
        <v>0</v>
      </c>
      <c r="BP16" s="421">
        <v>0</v>
      </c>
      <c r="BQ16" s="421">
        <v>0</v>
      </c>
    </row>
    <row r="17" spans="1:69" x14ac:dyDescent="0.25">
      <c r="A17" s="129">
        <v>20</v>
      </c>
      <c r="B17" s="129">
        <v>16</v>
      </c>
      <c r="C17" s="129" t="s">
        <v>322</v>
      </c>
      <c r="D17" s="129" t="s">
        <v>322</v>
      </c>
      <c r="E17" s="129" t="s">
        <v>147</v>
      </c>
      <c r="F17" s="129" t="s">
        <v>312</v>
      </c>
      <c r="G17" s="129" t="s">
        <v>465</v>
      </c>
      <c r="H17" s="129" t="s">
        <v>323</v>
      </c>
      <c r="I17" s="129" t="s">
        <v>320</v>
      </c>
      <c r="J17" s="129" t="s">
        <v>321</v>
      </c>
      <c r="K17" s="129" t="s">
        <v>105</v>
      </c>
      <c r="L17" s="130">
        <v>3</v>
      </c>
      <c r="M17" s="394">
        <v>46507</v>
      </c>
      <c r="N17" s="394">
        <v>47058</v>
      </c>
      <c r="O17" s="394">
        <v>46206</v>
      </c>
      <c r="P17" s="131">
        <v>107893266</v>
      </c>
      <c r="Q17" s="131" t="s">
        <v>454</v>
      </c>
      <c r="R17" s="129" t="s">
        <v>316</v>
      </c>
      <c r="S17" s="132">
        <v>0.3</v>
      </c>
      <c r="T17" s="130">
        <f>AA17*S17</f>
        <v>21.599999999999998</v>
      </c>
      <c r="U17" s="130">
        <f>T17*3</f>
        <v>64.8</v>
      </c>
      <c r="V17" s="132">
        <f>AB17/AA17</f>
        <v>0.30000000000000004</v>
      </c>
      <c r="W17" s="130">
        <f>AA17*V17</f>
        <v>21.6</v>
      </c>
      <c r="X17" s="130">
        <f>W17*3</f>
        <v>64.800000000000011</v>
      </c>
      <c r="Y17" s="131">
        <f>P17/AA17</f>
        <v>1498517.5833333333</v>
      </c>
      <c r="Z17" s="131">
        <f>P17/AB17</f>
        <v>4995058.611111111</v>
      </c>
      <c r="AA17" s="130">
        <v>72</v>
      </c>
      <c r="AB17" s="130">
        <v>21.6</v>
      </c>
      <c r="AC17" s="129" t="s">
        <v>276</v>
      </c>
      <c r="AD17" s="129" t="s">
        <v>148</v>
      </c>
      <c r="AE17" s="133">
        <f>(AH17*10%)+(AJ17*10%)+(AK17*20%)+(AM17*10%)+(AO17*20%)+(AQ17*10%)+(AR17*5%)+(AT17*5%)+(AV17*5%)+(AX17*5%)</f>
        <v>0.74000000000000021</v>
      </c>
      <c r="AF17" s="133">
        <f>(AI17*10%)+(AJ17*10%)+(AL17*20%)+(AN17*10%)+(AP17*20%)+(AQ17*10%)+(AS17*5%)+(AU17*5%)+(AW17*5%)+(AY17*5%)</f>
        <v>0.64000000000000012</v>
      </c>
      <c r="AG17" s="133">
        <f>(AE17*80%)+(AF17*20%)</f>
        <v>0.7200000000000002</v>
      </c>
      <c r="AH17" s="133">
        <v>1</v>
      </c>
      <c r="AI17" s="133">
        <v>0</v>
      </c>
      <c r="AJ17" s="133">
        <v>1</v>
      </c>
      <c r="AK17" s="133">
        <v>0.8</v>
      </c>
      <c r="AL17" s="133">
        <v>0.8</v>
      </c>
      <c r="AM17" s="133">
        <v>0</v>
      </c>
      <c r="AN17" s="133">
        <v>0</v>
      </c>
      <c r="AO17" s="133">
        <v>1</v>
      </c>
      <c r="AP17" s="133">
        <v>1</v>
      </c>
      <c r="AQ17" s="133">
        <v>0.3</v>
      </c>
      <c r="AR17" s="133">
        <v>0.5</v>
      </c>
      <c r="AS17" s="133">
        <v>0.5</v>
      </c>
      <c r="AT17" s="133">
        <v>1</v>
      </c>
      <c r="AU17" s="133">
        <v>1</v>
      </c>
      <c r="AV17" s="133">
        <v>1</v>
      </c>
      <c r="AW17" s="133">
        <v>1</v>
      </c>
      <c r="AX17" s="133">
        <v>0.5</v>
      </c>
      <c r="AY17" s="133">
        <v>0.5</v>
      </c>
      <c r="AZ17" s="420">
        <v>0</v>
      </c>
      <c r="BA17" s="421">
        <v>0</v>
      </c>
      <c r="BB17" s="421">
        <v>0</v>
      </c>
      <c r="BC17" s="421">
        <v>0</v>
      </c>
      <c r="BD17" s="421">
        <v>0</v>
      </c>
      <c r="BE17" s="421">
        <v>0</v>
      </c>
      <c r="BF17" s="421">
        <v>0</v>
      </c>
      <c r="BG17" s="421">
        <v>0</v>
      </c>
      <c r="BH17" s="421">
        <v>0</v>
      </c>
      <c r="BI17" s="421">
        <v>0</v>
      </c>
      <c r="BJ17" s="421">
        <v>0</v>
      </c>
      <c r="BK17" s="421">
        <v>0</v>
      </c>
      <c r="BL17" s="421">
        <v>0</v>
      </c>
      <c r="BM17" s="421">
        <v>0</v>
      </c>
      <c r="BN17" s="421">
        <v>0</v>
      </c>
      <c r="BO17" s="421">
        <v>0</v>
      </c>
      <c r="BP17" s="421">
        <v>0</v>
      </c>
      <c r="BQ17" s="421">
        <v>0</v>
      </c>
    </row>
    <row r="18" spans="1:69" x14ac:dyDescent="0.25">
      <c r="A18" s="129">
        <v>21</v>
      </c>
      <c r="B18" s="129">
        <v>17</v>
      </c>
      <c r="C18" s="129" t="s">
        <v>324</v>
      </c>
      <c r="D18" s="129" t="s">
        <v>324</v>
      </c>
      <c r="E18" s="129" t="s">
        <v>150</v>
      </c>
      <c r="F18" s="129" t="s">
        <v>312</v>
      </c>
      <c r="G18" s="129" t="s">
        <v>465</v>
      </c>
      <c r="H18" s="129" t="s">
        <v>325</v>
      </c>
      <c r="I18" s="129" t="s">
        <v>326</v>
      </c>
      <c r="J18" s="129" t="s">
        <v>327</v>
      </c>
      <c r="K18" s="129" t="s">
        <v>152</v>
      </c>
      <c r="L18" s="130">
        <v>3</v>
      </c>
      <c r="M18" s="394">
        <v>46507</v>
      </c>
      <c r="N18" s="394">
        <v>47058</v>
      </c>
      <c r="O18" s="394">
        <v>46206</v>
      </c>
      <c r="P18" s="131">
        <v>85999233</v>
      </c>
      <c r="Q18" s="131" t="s">
        <v>454</v>
      </c>
      <c r="R18" s="129" t="s">
        <v>316</v>
      </c>
      <c r="S18" s="132">
        <v>0.3</v>
      </c>
      <c r="T18" s="130">
        <f>AA18*S18</f>
        <v>16.8</v>
      </c>
      <c r="U18" s="130">
        <f>T18*3</f>
        <v>50.400000000000006</v>
      </c>
      <c r="V18" s="132">
        <f>AB18/AA18</f>
        <v>0.3</v>
      </c>
      <c r="W18" s="130">
        <f>AA18*V18</f>
        <v>16.8</v>
      </c>
      <c r="X18" s="130">
        <f>W18*3</f>
        <v>50.400000000000006</v>
      </c>
      <c r="Y18" s="131">
        <f>P18/AA18</f>
        <v>1535700.5892857143</v>
      </c>
      <c r="Z18" s="131">
        <f>P18/AB18</f>
        <v>5119001.9642857136</v>
      </c>
      <c r="AA18" s="130">
        <v>56</v>
      </c>
      <c r="AB18" s="130">
        <v>16.8</v>
      </c>
      <c r="AC18" s="129" t="s">
        <v>276</v>
      </c>
      <c r="AD18" s="129" t="s">
        <v>151</v>
      </c>
      <c r="AE18" s="133">
        <f>(AH18*10%)+(AJ18*10%)+(AK18*20%)+(AM18*10%)+(AO18*20%)+(AQ18*10%)+(AR18*5%)+(AT18*5%)+(AV18*5%)+(AX18*5%)</f>
        <v>0.7200000000000002</v>
      </c>
      <c r="AF18" s="133">
        <f>(AI18*10%)+(AJ18*10%)+(AL18*20%)+(AN18*10%)+(AP18*20%)+(AQ18*10%)+(AS18*5%)+(AU18*5%)+(AW18*5%)+(AY18*5%)</f>
        <v>0.67000000000000015</v>
      </c>
      <c r="AG18" s="133">
        <f>(AE18*80%)+(AF18*20%)</f>
        <v>0.71000000000000019</v>
      </c>
      <c r="AH18" s="133">
        <v>1</v>
      </c>
      <c r="AI18" s="133">
        <v>0.5</v>
      </c>
      <c r="AJ18" s="133">
        <v>1</v>
      </c>
      <c r="AK18" s="133">
        <v>0.7</v>
      </c>
      <c r="AL18" s="133">
        <v>0.7</v>
      </c>
      <c r="AM18" s="133">
        <v>0</v>
      </c>
      <c r="AN18" s="133">
        <v>0</v>
      </c>
      <c r="AO18" s="133">
        <v>1</v>
      </c>
      <c r="AP18" s="133">
        <v>1</v>
      </c>
      <c r="AQ18" s="133">
        <v>0.3</v>
      </c>
      <c r="AR18" s="133">
        <v>0.5</v>
      </c>
      <c r="AS18" s="133">
        <v>0.5</v>
      </c>
      <c r="AT18" s="133">
        <v>1</v>
      </c>
      <c r="AU18" s="133">
        <v>1</v>
      </c>
      <c r="AV18" s="133">
        <v>1</v>
      </c>
      <c r="AW18" s="133">
        <v>1</v>
      </c>
      <c r="AX18" s="133">
        <v>0.5</v>
      </c>
      <c r="AY18" s="133">
        <v>0.5</v>
      </c>
      <c r="AZ18" s="420">
        <v>0</v>
      </c>
      <c r="BA18" s="421">
        <v>0</v>
      </c>
      <c r="BB18" s="421">
        <v>0</v>
      </c>
      <c r="BC18" s="421">
        <v>0</v>
      </c>
      <c r="BD18" s="421">
        <v>0</v>
      </c>
      <c r="BE18" s="421">
        <v>0</v>
      </c>
      <c r="BF18" s="421">
        <v>0</v>
      </c>
      <c r="BG18" s="421">
        <v>0</v>
      </c>
      <c r="BH18" s="421">
        <v>0</v>
      </c>
      <c r="BI18" s="421">
        <v>0</v>
      </c>
      <c r="BJ18" s="421">
        <v>0</v>
      </c>
      <c r="BK18" s="421">
        <v>0</v>
      </c>
      <c r="BL18" s="421">
        <v>0</v>
      </c>
      <c r="BM18" s="421">
        <v>0</v>
      </c>
      <c r="BN18" s="421">
        <v>0</v>
      </c>
      <c r="BO18" s="421">
        <v>0</v>
      </c>
      <c r="BP18" s="421">
        <v>0</v>
      </c>
      <c r="BQ18" s="421">
        <v>0</v>
      </c>
    </row>
    <row r="19" spans="1:69" x14ac:dyDescent="0.25">
      <c r="A19" s="129">
        <v>17</v>
      </c>
      <c r="B19" s="129">
        <v>18</v>
      </c>
      <c r="C19" s="129" t="s">
        <v>303</v>
      </c>
      <c r="D19" s="129" t="s">
        <v>303</v>
      </c>
      <c r="E19" s="129" t="s">
        <v>61</v>
      </c>
      <c r="F19" s="129" t="s">
        <v>304</v>
      </c>
      <c r="G19" s="129" t="s">
        <v>465</v>
      </c>
      <c r="H19" s="129" t="s">
        <v>305</v>
      </c>
      <c r="I19" s="129" t="s">
        <v>306</v>
      </c>
      <c r="J19" s="129" t="s">
        <v>307</v>
      </c>
      <c r="K19" s="129" t="s">
        <v>64</v>
      </c>
      <c r="L19" s="130">
        <v>3</v>
      </c>
      <c r="M19" s="394">
        <v>46447</v>
      </c>
      <c r="N19" s="394">
        <v>46843</v>
      </c>
      <c r="O19" s="394">
        <v>46212</v>
      </c>
      <c r="P19" s="131">
        <v>90724532.900000006</v>
      </c>
      <c r="Q19" s="131" t="s">
        <v>453</v>
      </c>
      <c r="R19" s="129" t="s">
        <v>308</v>
      </c>
      <c r="S19" s="132">
        <v>0.3</v>
      </c>
      <c r="T19" s="130">
        <f>AA19*S19</f>
        <v>29.46</v>
      </c>
      <c r="U19" s="130">
        <f>T19*3</f>
        <v>88.38</v>
      </c>
      <c r="V19" s="132">
        <f>AB19/AA19</f>
        <v>0.3</v>
      </c>
      <c r="W19" s="130">
        <f>AA19*V19</f>
        <v>29.46</v>
      </c>
      <c r="X19" s="130">
        <f>W19*3</f>
        <v>88.38</v>
      </c>
      <c r="Y19" s="131">
        <f>P19/AA19</f>
        <v>923875.08044806519</v>
      </c>
      <c r="Z19" s="131">
        <f>P19/AB19</f>
        <v>3079583.6014935505</v>
      </c>
      <c r="AA19" s="130">
        <v>98.2</v>
      </c>
      <c r="AB19" s="130">
        <v>29.46</v>
      </c>
      <c r="AC19" s="129" t="s">
        <v>309</v>
      </c>
      <c r="AD19" s="129" t="s">
        <v>310</v>
      </c>
      <c r="AE19" s="133">
        <f>(AH19*10%)+(AJ19*10%)+(AK19*20%)+(AM19*10%)+(AO19*20%)+(AQ19*10%)+(AR19*5%)+(AT19*5%)+(AV19*5%)+(AX19*5%)</f>
        <v>0.91500000000000015</v>
      </c>
      <c r="AF19" s="133">
        <f>(AI19*10%)+(AJ19*10%)+(AL19*20%)+(AN19*10%)+(AP19*20%)+(AQ19*10%)+(AS19*5%)+(AU19*5%)+(AW19*5%)+(AY19*5%)</f>
        <v>0.86000000000000021</v>
      </c>
      <c r="AG19" s="133">
        <f>(AE19*80%)+(AF19*20%)</f>
        <v>0.90400000000000025</v>
      </c>
      <c r="AH19" s="133">
        <v>0.95</v>
      </c>
      <c r="AI19" s="133">
        <v>0.5</v>
      </c>
      <c r="AJ19" s="133">
        <v>0.9</v>
      </c>
      <c r="AK19" s="133">
        <v>0.9</v>
      </c>
      <c r="AL19" s="133">
        <v>0.9</v>
      </c>
      <c r="AM19" s="133">
        <v>1</v>
      </c>
      <c r="AN19" s="133">
        <v>1</v>
      </c>
      <c r="AO19" s="133">
        <v>0.9</v>
      </c>
      <c r="AP19" s="133">
        <v>0.9</v>
      </c>
      <c r="AQ19" s="133">
        <v>1</v>
      </c>
      <c r="AR19" s="133">
        <v>1</v>
      </c>
      <c r="AS19" s="133">
        <v>0.8</v>
      </c>
      <c r="AT19" s="133">
        <v>1</v>
      </c>
      <c r="AU19" s="133">
        <v>1</v>
      </c>
      <c r="AV19" s="133">
        <v>0.8</v>
      </c>
      <c r="AW19" s="133">
        <v>0.8</v>
      </c>
      <c r="AX19" s="133">
        <v>0.6</v>
      </c>
      <c r="AY19" s="133">
        <v>0.6</v>
      </c>
      <c r="AZ19" s="420" t="s">
        <v>423</v>
      </c>
      <c r="BA19" s="421">
        <v>0</v>
      </c>
      <c r="BB19" s="421" t="s">
        <v>60</v>
      </c>
      <c r="BC19" s="421" t="s">
        <v>425</v>
      </c>
      <c r="BD19" s="421">
        <v>0</v>
      </c>
      <c r="BE19" s="421" t="s">
        <v>59</v>
      </c>
      <c r="BF19" s="421">
        <v>0</v>
      </c>
      <c r="BG19" s="421" t="s">
        <v>425</v>
      </c>
      <c r="BH19" s="421">
        <v>0</v>
      </c>
      <c r="BI19" s="421" t="s">
        <v>59</v>
      </c>
      <c r="BJ19" s="421" t="s">
        <v>60</v>
      </c>
      <c r="BK19" s="421">
        <v>0</v>
      </c>
      <c r="BL19" s="421" t="s">
        <v>60</v>
      </c>
      <c r="BM19" s="421">
        <v>0</v>
      </c>
      <c r="BN19" s="421" t="s">
        <v>425</v>
      </c>
      <c r="BO19" s="421">
        <v>0</v>
      </c>
      <c r="BP19" s="421" t="s">
        <v>425</v>
      </c>
      <c r="BQ19" s="421">
        <v>0</v>
      </c>
    </row>
    <row r="20" spans="1:69" x14ac:dyDescent="0.25">
      <c r="A20" s="129">
        <v>15</v>
      </c>
      <c r="B20" s="129">
        <v>19</v>
      </c>
      <c r="C20" s="129" t="s">
        <v>296</v>
      </c>
      <c r="D20" s="129" t="s">
        <v>296</v>
      </c>
      <c r="E20" s="129" t="s">
        <v>153</v>
      </c>
      <c r="F20" s="129" t="s">
        <v>291</v>
      </c>
      <c r="G20" s="129" t="s">
        <v>465</v>
      </c>
      <c r="H20" s="129" t="s">
        <v>297</v>
      </c>
      <c r="I20" s="129" t="s">
        <v>298</v>
      </c>
      <c r="J20" s="129" t="s">
        <v>299</v>
      </c>
      <c r="K20" s="129" t="s">
        <v>155</v>
      </c>
      <c r="L20" s="130">
        <v>3</v>
      </c>
      <c r="M20" s="394">
        <v>46452</v>
      </c>
      <c r="N20" s="394">
        <v>47238</v>
      </c>
      <c r="O20" s="394">
        <v>46211</v>
      </c>
      <c r="P20" s="131">
        <v>178208437.90000001</v>
      </c>
      <c r="Q20" s="131" t="s">
        <v>454</v>
      </c>
      <c r="R20" s="129" t="s">
        <v>295</v>
      </c>
      <c r="S20" s="132">
        <v>0.3</v>
      </c>
      <c r="T20" s="130">
        <f>AA20*S20</f>
        <v>36</v>
      </c>
      <c r="U20" s="130">
        <f>T20*3</f>
        <v>108</v>
      </c>
      <c r="V20" s="132">
        <f>AB20/AA20</f>
        <v>0.3</v>
      </c>
      <c r="W20" s="130">
        <f>AA20*V20</f>
        <v>36</v>
      </c>
      <c r="X20" s="130">
        <f>W20*3</f>
        <v>108</v>
      </c>
      <c r="Y20" s="131">
        <f>P20/AA20</f>
        <v>1485070.3158333334</v>
      </c>
      <c r="Z20" s="131">
        <f>P20/AB20</f>
        <v>4950234.3861111114</v>
      </c>
      <c r="AA20" s="130">
        <v>120</v>
      </c>
      <c r="AB20" s="130">
        <v>36</v>
      </c>
      <c r="AC20" s="129" t="s">
        <v>233</v>
      </c>
      <c r="AD20" s="129" t="s">
        <v>154</v>
      </c>
      <c r="AE20" s="133">
        <f>(AH20*10%)+(AJ20*10%)+(AK20*20%)+(AM20*10%)+(AO20*20%)+(AQ20*10%)+(AR20*5%)+(AT20*5%)+(AV20*5%)+(AX20*5%)</f>
        <v>0.30500000000000005</v>
      </c>
      <c r="AF20" s="133">
        <f>(AI20*10%)+(AJ20*10%)+(AL20*20%)+(AN20*10%)+(AP20*20%)+(AQ20*10%)+(AS20*5%)+(AU20*5%)+(AW20*5%)+(AY20*5%)</f>
        <v>0.255</v>
      </c>
      <c r="AG20" s="133">
        <f>(AE20*80%)+(AF20*20%)</f>
        <v>0.29500000000000004</v>
      </c>
      <c r="AH20" s="133">
        <v>1</v>
      </c>
      <c r="AI20" s="133">
        <v>0.5</v>
      </c>
      <c r="AJ20" s="133">
        <v>0.8</v>
      </c>
      <c r="AK20" s="133">
        <v>0</v>
      </c>
      <c r="AL20" s="133">
        <v>0</v>
      </c>
      <c r="AM20" s="133">
        <v>0</v>
      </c>
      <c r="AN20" s="133">
        <v>0</v>
      </c>
      <c r="AO20" s="133">
        <v>0</v>
      </c>
      <c r="AP20" s="133">
        <v>0</v>
      </c>
      <c r="AQ20" s="133">
        <v>1</v>
      </c>
      <c r="AR20" s="133">
        <v>0.5</v>
      </c>
      <c r="AS20" s="133">
        <v>0.5</v>
      </c>
      <c r="AT20" s="133">
        <v>0</v>
      </c>
      <c r="AU20" s="133">
        <v>0</v>
      </c>
      <c r="AV20" s="133">
        <v>0</v>
      </c>
      <c r="AW20" s="133">
        <v>0</v>
      </c>
      <c r="AX20" s="133">
        <v>0</v>
      </c>
      <c r="AY20" s="133">
        <v>0</v>
      </c>
      <c r="AZ20" s="420">
        <v>0</v>
      </c>
      <c r="BA20" s="421">
        <v>0</v>
      </c>
      <c r="BB20" s="421">
        <v>0</v>
      </c>
      <c r="BC20" s="421">
        <v>0</v>
      </c>
      <c r="BD20" s="421">
        <v>0</v>
      </c>
      <c r="BE20" s="421">
        <v>0</v>
      </c>
      <c r="BF20" s="421">
        <v>0</v>
      </c>
      <c r="BG20" s="421">
        <v>0</v>
      </c>
      <c r="BH20" s="421">
        <v>0</v>
      </c>
      <c r="BI20" s="421">
        <v>0</v>
      </c>
      <c r="BJ20" s="421">
        <v>0</v>
      </c>
      <c r="BK20" s="421">
        <v>0</v>
      </c>
      <c r="BL20" s="421">
        <v>0</v>
      </c>
      <c r="BM20" s="421">
        <v>0</v>
      </c>
      <c r="BN20" s="421">
        <v>0</v>
      </c>
      <c r="BO20" s="421">
        <v>0</v>
      </c>
      <c r="BP20" s="421">
        <v>0</v>
      </c>
      <c r="BQ20" s="421">
        <v>0</v>
      </c>
    </row>
    <row r="21" spans="1:69" x14ac:dyDescent="0.25">
      <c r="A21" s="129">
        <v>16</v>
      </c>
      <c r="B21" s="129">
        <v>20</v>
      </c>
      <c r="C21" s="129" t="s">
        <v>300</v>
      </c>
      <c r="D21" s="129" t="s">
        <v>300</v>
      </c>
      <c r="E21" s="129" t="s">
        <v>156</v>
      </c>
      <c r="F21" s="129" t="s">
        <v>291</v>
      </c>
      <c r="G21" s="129" t="s">
        <v>465</v>
      </c>
      <c r="H21" s="129" t="s">
        <v>229</v>
      </c>
      <c r="I21" s="129" t="s">
        <v>301</v>
      </c>
      <c r="J21" s="129" t="s">
        <v>302</v>
      </c>
      <c r="K21" s="129" t="s">
        <v>157</v>
      </c>
      <c r="L21" s="130">
        <v>3</v>
      </c>
      <c r="M21" s="394">
        <v>46461</v>
      </c>
      <c r="N21" s="394">
        <v>47057</v>
      </c>
      <c r="O21" s="394">
        <v>46211</v>
      </c>
      <c r="P21" s="131">
        <v>98459271.299999997</v>
      </c>
      <c r="Q21" s="131" t="s">
        <v>454</v>
      </c>
      <c r="R21" s="129" t="s">
        <v>295</v>
      </c>
      <c r="S21" s="132">
        <v>0.3</v>
      </c>
      <c r="T21" s="130">
        <f>AA21*S21</f>
        <v>19.8</v>
      </c>
      <c r="U21" s="130">
        <f>T21*3</f>
        <v>59.400000000000006</v>
      </c>
      <c r="V21" s="132">
        <f>AB21/AA21</f>
        <v>0.3</v>
      </c>
      <c r="W21" s="130">
        <f>AA21*V21</f>
        <v>19.8</v>
      </c>
      <c r="X21" s="130">
        <f>W21*3</f>
        <v>59.400000000000006</v>
      </c>
      <c r="Y21" s="131">
        <f>P21/AA21</f>
        <v>1491807.1409090909</v>
      </c>
      <c r="Z21" s="131">
        <f>P21/AB21</f>
        <v>4972690.4696969697</v>
      </c>
      <c r="AA21" s="130">
        <v>66</v>
      </c>
      <c r="AB21" s="130">
        <v>19.8</v>
      </c>
      <c r="AC21" s="129" t="s">
        <v>233</v>
      </c>
      <c r="AD21" s="129" t="s">
        <v>71</v>
      </c>
      <c r="AE21" s="133">
        <f>(AH21*10%)+(AJ21*10%)+(AK21*20%)+(AM21*10%)+(AO21*20%)+(AQ21*10%)+(AR21*5%)+(AT21*5%)+(AV21*5%)+(AX21*5%)</f>
        <v>0.29500000000000004</v>
      </c>
      <c r="AF21" s="133">
        <f>(AI21*10%)+(AJ21*10%)+(AL21*20%)+(AN21*10%)+(AP21*20%)+(AQ21*10%)+(AS21*5%)+(AU21*5%)+(AW21*5%)+(AY21*5%)</f>
        <v>0.28000000000000003</v>
      </c>
      <c r="AG21" s="133">
        <f>(AE21*80%)+(AF21*20%)</f>
        <v>0.29200000000000004</v>
      </c>
      <c r="AH21" s="133">
        <v>0.95</v>
      </c>
      <c r="AI21" s="133">
        <v>0.8</v>
      </c>
      <c r="AJ21" s="133">
        <v>1</v>
      </c>
      <c r="AK21" s="133">
        <v>0</v>
      </c>
      <c r="AL21" s="133">
        <v>0</v>
      </c>
      <c r="AM21" s="133">
        <v>0</v>
      </c>
      <c r="AN21" s="133">
        <v>0</v>
      </c>
      <c r="AO21" s="133">
        <v>0</v>
      </c>
      <c r="AP21" s="133">
        <v>0</v>
      </c>
      <c r="AQ21" s="133">
        <v>1</v>
      </c>
      <c r="AR21" s="133">
        <v>0</v>
      </c>
      <c r="AS21" s="133">
        <v>0</v>
      </c>
      <c r="AT21" s="133">
        <v>0</v>
      </c>
      <c r="AU21" s="133">
        <v>0</v>
      </c>
      <c r="AV21" s="133">
        <v>0</v>
      </c>
      <c r="AW21" s="133">
        <v>0</v>
      </c>
      <c r="AX21" s="133">
        <v>0</v>
      </c>
      <c r="AY21" s="133">
        <v>0</v>
      </c>
      <c r="AZ21" s="420">
        <v>0</v>
      </c>
      <c r="BA21" s="421">
        <v>0</v>
      </c>
      <c r="BB21" s="421">
        <v>0</v>
      </c>
      <c r="BC21" s="421">
        <v>0</v>
      </c>
      <c r="BD21" s="421">
        <v>0</v>
      </c>
      <c r="BE21" s="421">
        <v>0</v>
      </c>
      <c r="BF21" s="421">
        <v>0</v>
      </c>
      <c r="BG21" s="421">
        <v>0</v>
      </c>
      <c r="BH21" s="421">
        <v>0</v>
      </c>
      <c r="BI21" s="421">
        <v>0</v>
      </c>
      <c r="BJ21" s="421">
        <v>0</v>
      </c>
      <c r="BK21" s="421">
        <v>0</v>
      </c>
      <c r="BL21" s="421">
        <v>0</v>
      </c>
      <c r="BM21" s="421">
        <v>0</v>
      </c>
      <c r="BN21" s="421">
        <v>0</v>
      </c>
      <c r="BO21" s="421">
        <v>0</v>
      </c>
      <c r="BP21" s="421">
        <v>0</v>
      </c>
      <c r="BQ21" s="421">
        <v>0</v>
      </c>
    </row>
    <row r="22" spans="1:69" x14ac:dyDescent="0.25">
      <c r="A22" s="129">
        <v>14</v>
      </c>
      <c r="B22" s="129">
        <v>21</v>
      </c>
      <c r="C22" s="129" t="s">
        <v>290</v>
      </c>
      <c r="D22" s="129" t="s">
        <v>290</v>
      </c>
      <c r="E22" s="129" t="s">
        <v>158</v>
      </c>
      <c r="F22" s="129" t="s">
        <v>291</v>
      </c>
      <c r="G22" s="129" t="s">
        <v>465</v>
      </c>
      <c r="H22" s="129" t="s">
        <v>292</v>
      </c>
      <c r="I22" s="129" t="s">
        <v>293</v>
      </c>
      <c r="J22" s="129" t="s">
        <v>294</v>
      </c>
      <c r="K22" s="129" t="s">
        <v>159</v>
      </c>
      <c r="L22" s="130">
        <v>3</v>
      </c>
      <c r="M22" s="394">
        <v>46461</v>
      </c>
      <c r="N22" s="394">
        <v>47238</v>
      </c>
      <c r="O22" s="394">
        <v>46211</v>
      </c>
      <c r="P22" s="131">
        <v>211345624.30000001</v>
      </c>
      <c r="Q22" s="131" t="s">
        <v>454</v>
      </c>
      <c r="R22" s="129" t="s">
        <v>295</v>
      </c>
      <c r="S22" s="132">
        <v>0.3</v>
      </c>
      <c r="T22" s="130">
        <f>AA22*S22</f>
        <v>51</v>
      </c>
      <c r="U22" s="130">
        <f>T22*3</f>
        <v>153</v>
      </c>
      <c r="V22" s="132">
        <f>AB22/AA22</f>
        <v>0.3</v>
      </c>
      <c r="W22" s="130">
        <f>AA22*V22</f>
        <v>51</v>
      </c>
      <c r="X22" s="130">
        <f>W22*3</f>
        <v>153</v>
      </c>
      <c r="Y22" s="131">
        <f>P22/AA22</f>
        <v>1243209.5547058824</v>
      </c>
      <c r="Z22" s="131">
        <f>P22/AB22</f>
        <v>4144031.849019608</v>
      </c>
      <c r="AA22" s="130">
        <v>170</v>
      </c>
      <c r="AB22" s="130">
        <v>51</v>
      </c>
      <c r="AC22" s="129" t="s">
        <v>240</v>
      </c>
      <c r="AD22" s="129" t="s">
        <v>158</v>
      </c>
      <c r="AE22" s="133">
        <f>(AH22*10%)+(AJ22*10%)+(AK22*20%)+(AM22*10%)+(AO22*20%)+(AQ22*10%)+(AR22*5%)+(AT22*5%)+(AV22*5%)+(AX22*5%)</f>
        <v>0.30000000000000004</v>
      </c>
      <c r="AF22" s="133">
        <f>(AI22*10%)+(AJ22*10%)+(AL22*20%)+(AN22*10%)+(AP22*20%)+(AQ22*10%)+(AS22*5%)+(AU22*5%)+(AW22*5%)+(AY22*5%)</f>
        <v>0.16000000000000003</v>
      </c>
      <c r="AG22" s="133">
        <f>(AE22*80%)+(AF22*20%)</f>
        <v>0.27200000000000008</v>
      </c>
      <c r="AH22" s="133">
        <v>1</v>
      </c>
      <c r="AI22" s="133">
        <v>0.8</v>
      </c>
      <c r="AJ22" s="133">
        <v>0.8</v>
      </c>
      <c r="AK22" s="133">
        <v>0.6</v>
      </c>
      <c r="AL22" s="133">
        <v>0</v>
      </c>
      <c r="AM22" s="133">
        <v>0</v>
      </c>
      <c r="AN22" s="133">
        <v>0</v>
      </c>
      <c r="AO22" s="133">
        <v>0</v>
      </c>
      <c r="AP22" s="133">
        <v>0</v>
      </c>
      <c r="AQ22" s="133">
        <v>0</v>
      </c>
      <c r="AR22" s="133">
        <v>0</v>
      </c>
      <c r="AS22" s="133">
        <v>0</v>
      </c>
      <c r="AT22" s="133">
        <v>0</v>
      </c>
      <c r="AU22" s="133">
        <v>0</v>
      </c>
      <c r="AV22" s="133">
        <v>0</v>
      </c>
      <c r="AW22" s="133">
        <v>0</v>
      </c>
      <c r="AX22" s="133">
        <v>0</v>
      </c>
      <c r="AY22" s="133">
        <v>0</v>
      </c>
      <c r="AZ22" s="420">
        <v>0</v>
      </c>
      <c r="BA22" s="421">
        <v>0</v>
      </c>
      <c r="BB22" s="421">
        <v>0</v>
      </c>
      <c r="BC22" s="421">
        <v>0</v>
      </c>
      <c r="BD22" s="421">
        <v>0</v>
      </c>
      <c r="BE22" s="421">
        <v>0</v>
      </c>
      <c r="BF22" s="421">
        <v>0</v>
      </c>
      <c r="BG22" s="421">
        <v>0</v>
      </c>
      <c r="BH22" s="421">
        <v>0</v>
      </c>
      <c r="BI22" s="421">
        <v>0</v>
      </c>
      <c r="BJ22" s="421">
        <v>0</v>
      </c>
      <c r="BK22" s="421">
        <v>0</v>
      </c>
      <c r="BL22" s="421">
        <v>0</v>
      </c>
      <c r="BM22" s="421">
        <v>0</v>
      </c>
      <c r="BN22" s="421">
        <v>0</v>
      </c>
      <c r="BO22" s="421">
        <v>0</v>
      </c>
      <c r="BP22" s="421">
        <v>0</v>
      </c>
      <c r="BQ22" s="421">
        <v>0</v>
      </c>
    </row>
    <row r="23" spans="1:69" x14ac:dyDescent="0.25">
      <c r="A23" s="129">
        <v>11</v>
      </c>
      <c r="B23" s="129">
        <v>22</v>
      </c>
      <c r="C23" s="165" t="s">
        <v>271</v>
      </c>
      <c r="D23" s="129" t="s">
        <v>271</v>
      </c>
      <c r="E23" s="129" t="s">
        <v>160</v>
      </c>
      <c r="F23" s="129" t="s">
        <v>208</v>
      </c>
      <c r="G23" s="129" t="s">
        <v>465</v>
      </c>
      <c r="H23" s="129" t="s">
        <v>272</v>
      </c>
      <c r="I23" s="129" t="s">
        <v>273</v>
      </c>
      <c r="J23" s="129" t="s">
        <v>274</v>
      </c>
      <c r="K23" s="129" t="s">
        <v>162</v>
      </c>
      <c r="L23" s="130">
        <v>3.66</v>
      </c>
      <c r="M23" s="394">
        <v>46356</v>
      </c>
      <c r="N23" s="394">
        <v>47208</v>
      </c>
      <c r="O23" s="394">
        <v>46206</v>
      </c>
      <c r="P23" s="131">
        <v>158930216.19999999</v>
      </c>
      <c r="Q23" s="131" t="s">
        <v>453</v>
      </c>
      <c r="R23" s="129" t="s">
        <v>275</v>
      </c>
      <c r="S23" s="132">
        <v>0.3</v>
      </c>
      <c r="T23" s="130">
        <f>AA23*S23</f>
        <v>36.96</v>
      </c>
      <c r="U23" s="130">
        <f>T23*3</f>
        <v>110.88</v>
      </c>
      <c r="V23" s="132">
        <f>AB23/AA23</f>
        <v>0.3</v>
      </c>
      <c r="W23" s="130">
        <f>AA23*V23</f>
        <v>36.96</v>
      </c>
      <c r="X23" s="130">
        <f>W23*3</f>
        <v>110.88</v>
      </c>
      <c r="Y23" s="131">
        <f>P23/AA23</f>
        <v>1290017.9886363635</v>
      </c>
      <c r="Z23" s="131">
        <f>P23/AB23</f>
        <v>4300059.9621212119</v>
      </c>
      <c r="AA23" s="130">
        <v>123.2</v>
      </c>
      <c r="AB23" s="130">
        <v>36.96</v>
      </c>
      <c r="AC23" s="129" t="s">
        <v>276</v>
      </c>
      <c r="AD23" s="129" t="s">
        <v>277</v>
      </c>
      <c r="AE23" s="133">
        <f>(AH23*10%)+(AJ23*10%)+(AK23*20%)+(AM23*10%)+(AO23*20%)+(AQ23*10%)+(AR23*5%)+(AT23*5%)+(AV23*5%)+(AX23*5%)</f>
        <v>0.84000000000000019</v>
      </c>
      <c r="AF23" s="133">
        <f>(AI23*10%)+(AJ23*10%)+(AL23*20%)+(AN23*10%)+(AP23*20%)+(AQ23*10%)+(AS23*5%)+(AU23*5%)+(AW23*5%)+(AY23*5%)</f>
        <v>0.73500000000000021</v>
      </c>
      <c r="AG23" s="133">
        <f>(AE23*80%)+(AF23*20%)</f>
        <v>0.81900000000000017</v>
      </c>
      <c r="AH23" s="133">
        <v>1</v>
      </c>
      <c r="AI23" s="133">
        <v>0.75</v>
      </c>
      <c r="AJ23" s="133">
        <v>1</v>
      </c>
      <c r="AK23" s="133">
        <v>0.9</v>
      </c>
      <c r="AL23" s="133">
        <v>0.5</v>
      </c>
      <c r="AM23" s="133">
        <v>0.5</v>
      </c>
      <c r="AN23" s="133">
        <v>0.5</v>
      </c>
      <c r="AO23" s="133">
        <v>1</v>
      </c>
      <c r="AP23" s="133">
        <v>1</v>
      </c>
      <c r="AQ23" s="133">
        <v>0.3</v>
      </c>
      <c r="AR23" s="133">
        <v>0.6</v>
      </c>
      <c r="AS23" s="133">
        <v>0.6</v>
      </c>
      <c r="AT23" s="133">
        <v>1</v>
      </c>
      <c r="AU23" s="133">
        <v>1</v>
      </c>
      <c r="AV23" s="133">
        <v>1</v>
      </c>
      <c r="AW23" s="133">
        <v>1</v>
      </c>
      <c r="AX23" s="133">
        <v>1</v>
      </c>
      <c r="AY23" s="133">
        <v>1</v>
      </c>
      <c r="AZ23" s="420" t="s">
        <v>60</v>
      </c>
      <c r="BA23" s="421">
        <v>0</v>
      </c>
      <c r="BB23" s="421" t="s">
        <v>60</v>
      </c>
      <c r="BC23" s="421" t="s">
        <v>425</v>
      </c>
      <c r="BD23" s="421">
        <v>0</v>
      </c>
      <c r="BE23" s="421" t="s">
        <v>422</v>
      </c>
      <c r="BF23" s="421">
        <v>0</v>
      </c>
      <c r="BG23" s="421" t="s">
        <v>60</v>
      </c>
      <c r="BH23" s="421">
        <v>0</v>
      </c>
      <c r="BI23" s="421" t="s">
        <v>464</v>
      </c>
      <c r="BJ23" s="421" t="s">
        <v>425</v>
      </c>
      <c r="BK23" s="421">
        <v>0</v>
      </c>
      <c r="BL23" s="421" t="s">
        <v>60</v>
      </c>
      <c r="BM23" s="421">
        <v>0</v>
      </c>
      <c r="BN23" s="421" t="s">
        <v>60</v>
      </c>
      <c r="BO23" s="421">
        <v>0</v>
      </c>
      <c r="BP23" s="421" t="s">
        <v>60</v>
      </c>
      <c r="BQ23" s="421">
        <v>0</v>
      </c>
    </row>
    <row r="24" spans="1:69" x14ac:dyDescent="0.25">
      <c r="A24" s="129">
        <v>12</v>
      </c>
      <c r="B24" s="129">
        <v>23</v>
      </c>
      <c r="C24" s="129" t="s">
        <v>278</v>
      </c>
      <c r="D24" s="129" t="s">
        <v>278</v>
      </c>
      <c r="E24" s="129" t="s">
        <v>106</v>
      </c>
      <c r="F24" s="129" t="s">
        <v>208</v>
      </c>
      <c r="G24" s="129" t="s">
        <v>465</v>
      </c>
      <c r="H24" s="129" t="s">
        <v>279</v>
      </c>
      <c r="I24" s="129" t="s">
        <v>280</v>
      </c>
      <c r="J24" s="129" t="s">
        <v>281</v>
      </c>
      <c r="K24" s="129" t="s">
        <v>461</v>
      </c>
      <c r="L24" s="130">
        <v>3.6</v>
      </c>
      <c r="M24" s="394">
        <v>46356</v>
      </c>
      <c r="N24" s="394">
        <v>47360</v>
      </c>
      <c r="O24" s="394">
        <v>46206</v>
      </c>
      <c r="P24" s="131">
        <v>420828931.19999999</v>
      </c>
      <c r="Q24" s="131" t="s">
        <v>454</v>
      </c>
      <c r="R24" s="129" t="s">
        <v>282</v>
      </c>
      <c r="S24" s="132">
        <v>0.3</v>
      </c>
      <c r="T24" s="130">
        <f>AA24*S24</f>
        <v>136.70400000000001</v>
      </c>
      <c r="U24" s="130">
        <f>T24*3</f>
        <v>410.11200000000002</v>
      </c>
      <c r="V24" s="132">
        <f>AB24/AA24</f>
        <v>0.29999122191011235</v>
      </c>
      <c r="W24" s="130">
        <f>AA24*V24</f>
        <v>136.69999999999999</v>
      </c>
      <c r="X24" s="130">
        <f>W24*3</f>
        <v>410.09999999999997</v>
      </c>
      <c r="Y24" s="131">
        <f>P24/AA24</f>
        <v>923518.54634831462</v>
      </c>
      <c r="Z24" s="131">
        <f>P24/AB24</f>
        <v>3078485.2318946598</v>
      </c>
      <c r="AA24" s="130">
        <v>455.68</v>
      </c>
      <c r="AB24" s="130">
        <v>136.69999999999999</v>
      </c>
      <c r="AC24" s="129" t="s">
        <v>283</v>
      </c>
      <c r="AD24" s="129" t="s">
        <v>107</v>
      </c>
      <c r="AE24" s="133">
        <f>(AH24*10%)+(AJ24*10%)+(AK24*20%)+(AM24*10%)+(AO24*20%)+(AQ24*10%)+(AR24*5%)+(AT24*5%)+(AV24*5%)+(AX24*5%)</f>
        <v>0.75000000000000022</v>
      </c>
      <c r="AF24" s="133">
        <f>(AI24*10%)+(AJ24*10%)+(AL24*20%)+(AN24*10%)+(AP24*20%)+(AQ24*10%)+(AS24*5%)+(AU24*5%)+(AW24*5%)+(AY24*5%)</f>
        <v>0.58500000000000019</v>
      </c>
      <c r="AG24" s="133">
        <f>(AE24*80%)+(AF24*20%)</f>
        <v>0.7170000000000003</v>
      </c>
      <c r="AH24" s="133">
        <v>1</v>
      </c>
      <c r="AI24" s="133">
        <v>0.75</v>
      </c>
      <c r="AJ24" s="133">
        <v>0.9</v>
      </c>
      <c r="AK24" s="133">
        <v>0.8</v>
      </c>
      <c r="AL24" s="133">
        <v>0.8</v>
      </c>
      <c r="AM24" s="133">
        <v>1</v>
      </c>
      <c r="AN24" s="133">
        <v>0</v>
      </c>
      <c r="AO24" s="133">
        <v>0.8</v>
      </c>
      <c r="AP24" s="133">
        <v>0.8</v>
      </c>
      <c r="AQ24" s="133">
        <v>0</v>
      </c>
      <c r="AR24" s="133">
        <v>0.8</v>
      </c>
      <c r="AS24" s="133">
        <v>0</v>
      </c>
      <c r="AT24" s="133">
        <v>1</v>
      </c>
      <c r="AU24" s="133">
        <v>1</v>
      </c>
      <c r="AV24" s="133">
        <v>0.5</v>
      </c>
      <c r="AW24" s="133">
        <v>0.5</v>
      </c>
      <c r="AX24" s="133">
        <v>0.5</v>
      </c>
      <c r="AY24" s="133">
        <v>0.5</v>
      </c>
      <c r="AZ24" s="420">
        <v>0</v>
      </c>
      <c r="BA24" s="421">
        <v>0</v>
      </c>
      <c r="BB24" s="421">
        <v>0</v>
      </c>
      <c r="BC24" s="421">
        <v>0</v>
      </c>
      <c r="BD24" s="421">
        <v>0</v>
      </c>
      <c r="BE24" s="421">
        <v>0</v>
      </c>
      <c r="BF24" s="421">
        <v>0</v>
      </c>
      <c r="BG24" s="421">
        <v>0</v>
      </c>
      <c r="BH24" s="421">
        <v>0</v>
      </c>
      <c r="BI24" s="421">
        <v>0</v>
      </c>
      <c r="BJ24" s="421">
        <v>0</v>
      </c>
      <c r="BK24" s="421">
        <v>0</v>
      </c>
      <c r="BL24" s="421">
        <v>0</v>
      </c>
      <c r="BM24" s="421">
        <v>0</v>
      </c>
      <c r="BN24" s="421">
        <v>0</v>
      </c>
      <c r="BO24" s="421">
        <v>0</v>
      </c>
      <c r="BP24" s="421">
        <v>0</v>
      </c>
      <c r="BQ24" s="421">
        <v>0</v>
      </c>
    </row>
    <row r="25" spans="1:69" x14ac:dyDescent="0.25">
      <c r="A25" s="129">
        <v>1</v>
      </c>
      <c r="B25" s="129">
        <v>24</v>
      </c>
      <c r="C25" s="129" t="s">
        <v>207</v>
      </c>
      <c r="D25" s="129" t="s">
        <v>207</v>
      </c>
      <c r="E25" s="129" t="s">
        <v>54</v>
      </c>
      <c r="F25" s="129" t="s">
        <v>208</v>
      </c>
      <c r="G25" s="129" t="s">
        <v>465</v>
      </c>
      <c r="H25" s="129" t="s">
        <v>209</v>
      </c>
      <c r="I25" s="129" t="s">
        <v>210</v>
      </c>
      <c r="J25" s="129" t="s">
        <v>211</v>
      </c>
      <c r="K25" s="129" t="s">
        <v>58</v>
      </c>
      <c r="L25" s="130">
        <v>3.55</v>
      </c>
      <c r="M25" s="394">
        <v>46341</v>
      </c>
      <c r="N25" s="394">
        <v>47118</v>
      </c>
      <c r="O25" s="394">
        <v>46206</v>
      </c>
      <c r="P25" s="131">
        <v>93931093.400000006</v>
      </c>
      <c r="Q25" s="131" t="s">
        <v>453</v>
      </c>
      <c r="R25" s="129" t="s">
        <v>212</v>
      </c>
      <c r="S25" s="132">
        <v>0.3</v>
      </c>
      <c r="T25" s="130">
        <f>AA25*S25</f>
        <v>24</v>
      </c>
      <c r="U25" s="130">
        <f>T25*3</f>
        <v>72</v>
      </c>
      <c r="V25" s="132">
        <f>AB25/AA25</f>
        <v>0.3</v>
      </c>
      <c r="W25" s="130">
        <f>AA25*V25</f>
        <v>24</v>
      </c>
      <c r="X25" s="130">
        <f>W25*3</f>
        <v>72</v>
      </c>
      <c r="Y25" s="131">
        <f>P25/AA25</f>
        <v>1174138.6675</v>
      </c>
      <c r="Z25" s="131">
        <f>P25/AB25</f>
        <v>3913795.5583333336</v>
      </c>
      <c r="AA25" s="130">
        <v>80</v>
      </c>
      <c r="AB25" s="130">
        <v>24</v>
      </c>
      <c r="AC25" s="129" t="s">
        <v>213</v>
      </c>
      <c r="AD25" s="129" t="s">
        <v>214</v>
      </c>
      <c r="AE25" s="133">
        <f>(AH25*10%)+(AJ25*10%)+(AK25*20%)+(AM25*10%)+(AO25*20%)+(AQ25*10%)+(AR25*5%)+(AT25*5%)+(AV25*5%)+(AX25*5%)</f>
        <v>0.94000000000000006</v>
      </c>
      <c r="AF25" s="133">
        <f>(AI25*10%)+(AJ25*10%)+(AL25*20%)+(AN25*10%)+(AP25*20%)+(AQ25*10%)+(AS25*5%)+(AU25*5%)+(AW25*5%)+(AY25*5%)</f>
        <v>0.93</v>
      </c>
      <c r="AG25" s="133">
        <f>(AE25*80%)+(AF25*20%)</f>
        <v>0.93800000000000017</v>
      </c>
      <c r="AH25" s="133">
        <v>1</v>
      </c>
      <c r="AI25" s="133">
        <v>0.9</v>
      </c>
      <c r="AJ25" s="133">
        <v>0.9</v>
      </c>
      <c r="AK25" s="133">
        <v>1</v>
      </c>
      <c r="AL25" s="133">
        <v>1</v>
      </c>
      <c r="AM25" s="133">
        <v>1</v>
      </c>
      <c r="AN25" s="133">
        <v>1</v>
      </c>
      <c r="AO25" s="133">
        <v>1</v>
      </c>
      <c r="AP25" s="133">
        <v>1</v>
      </c>
      <c r="AQ25" s="133">
        <v>1</v>
      </c>
      <c r="AR25" s="133">
        <v>1</v>
      </c>
      <c r="AS25" s="133">
        <v>1</v>
      </c>
      <c r="AT25" s="133">
        <v>0.5</v>
      </c>
      <c r="AU25" s="133">
        <v>0.5</v>
      </c>
      <c r="AV25" s="133">
        <v>1</v>
      </c>
      <c r="AW25" s="133">
        <v>1</v>
      </c>
      <c r="AX25" s="133">
        <v>0.5</v>
      </c>
      <c r="AY25" s="133">
        <v>0.5</v>
      </c>
      <c r="AZ25" s="420" t="s">
        <v>60</v>
      </c>
      <c r="BA25" s="421">
        <v>0</v>
      </c>
      <c r="BB25" s="421" t="s">
        <v>60</v>
      </c>
      <c r="BC25" s="421" t="s">
        <v>60</v>
      </c>
      <c r="BD25" s="421">
        <v>0</v>
      </c>
      <c r="BE25" s="421" t="s">
        <v>59</v>
      </c>
      <c r="BF25" s="421">
        <v>0</v>
      </c>
      <c r="BG25" s="421" t="s">
        <v>60</v>
      </c>
      <c r="BH25" s="421">
        <v>0</v>
      </c>
      <c r="BI25" s="421" t="s">
        <v>59</v>
      </c>
      <c r="BJ25" s="421" t="s">
        <v>60</v>
      </c>
      <c r="BK25" s="421">
        <v>0</v>
      </c>
      <c r="BL25" s="421" t="s">
        <v>425</v>
      </c>
      <c r="BM25" s="421">
        <v>0</v>
      </c>
      <c r="BN25" s="421" t="s">
        <v>60</v>
      </c>
      <c r="BO25" s="421">
        <v>0</v>
      </c>
      <c r="BP25" s="421" t="s">
        <v>425</v>
      </c>
      <c r="BQ25" s="421">
        <v>0</v>
      </c>
    </row>
    <row r="26" spans="1:69" x14ac:dyDescent="0.25">
      <c r="A26" s="129">
        <v>2</v>
      </c>
      <c r="B26" s="129">
        <v>25</v>
      </c>
      <c r="C26" s="129" t="s">
        <v>215</v>
      </c>
      <c r="D26" s="129" t="s">
        <v>215</v>
      </c>
      <c r="E26" s="129" t="s">
        <v>163</v>
      </c>
      <c r="F26" s="129" t="s">
        <v>216</v>
      </c>
      <c r="G26" s="129" t="s">
        <v>466</v>
      </c>
      <c r="H26" s="129" t="s">
        <v>217</v>
      </c>
      <c r="I26" s="129" t="s">
        <v>218</v>
      </c>
      <c r="J26" s="129" t="s">
        <v>219</v>
      </c>
      <c r="K26" s="129" t="s">
        <v>165</v>
      </c>
      <c r="L26" s="130">
        <v>3</v>
      </c>
      <c r="M26" s="394">
        <v>46478</v>
      </c>
      <c r="N26" s="394">
        <v>47209</v>
      </c>
      <c r="O26" s="394">
        <v>46211</v>
      </c>
      <c r="P26" s="131">
        <v>511733189.5</v>
      </c>
      <c r="Q26" s="131" t="s">
        <v>454</v>
      </c>
      <c r="R26" s="129" t="s">
        <v>220</v>
      </c>
      <c r="S26" s="132">
        <v>0.3</v>
      </c>
      <c r="T26" s="130">
        <f>AA26*S26</f>
        <v>90.45</v>
      </c>
      <c r="U26" s="130">
        <f>T26*3</f>
        <v>271.35000000000002</v>
      </c>
      <c r="V26" s="132">
        <f>AB26/AA26</f>
        <v>0.30016583747927034</v>
      </c>
      <c r="W26" s="130">
        <f>AA26*V26</f>
        <v>90.5</v>
      </c>
      <c r="X26" s="130">
        <f>W26*3</f>
        <v>271.5</v>
      </c>
      <c r="Y26" s="131">
        <f>P26/AA26</f>
        <v>1697290.8441127695</v>
      </c>
      <c r="Z26" s="131">
        <f>P26/AB26</f>
        <v>5654510.3812154699</v>
      </c>
      <c r="AA26" s="130">
        <v>301.5</v>
      </c>
      <c r="AB26" s="130">
        <v>90.5</v>
      </c>
      <c r="AC26" s="129" t="s">
        <v>221</v>
      </c>
      <c r="AD26" s="129" t="s">
        <v>164</v>
      </c>
      <c r="AE26" s="133">
        <f>(AH26*10%)+(AJ26*10%)+(AK26*20%)+(AM26*10%)+(AO26*20%)+(AQ26*10%)+(AR26*5%)+(AT26*5%)+(AV26*5%)+(AX26*5%)</f>
        <v>0.54</v>
      </c>
      <c r="AF26" s="133">
        <f>(AI26*10%)+(AJ26*10%)+(AL26*20%)+(AN26*10%)+(AP26*20%)+(AQ26*10%)+(AS26*5%)+(AU26*5%)+(AW26*5%)+(AY26*5%)</f>
        <v>0.44000000000000006</v>
      </c>
      <c r="AG26" s="133">
        <f>(AE26*80%)+(AF26*20%)</f>
        <v>0.52</v>
      </c>
      <c r="AH26" s="133">
        <v>1</v>
      </c>
      <c r="AI26" s="133">
        <v>1</v>
      </c>
      <c r="AJ26" s="133">
        <v>0.5</v>
      </c>
      <c r="AK26" s="133">
        <v>0.5</v>
      </c>
      <c r="AL26" s="133">
        <v>0</v>
      </c>
      <c r="AM26" s="133">
        <v>0</v>
      </c>
      <c r="AN26" s="133">
        <v>0</v>
      </c>
      <c r="AO26" s="133">
        <v>0.7</v>
      </c>
      <c r="AP26" s="133">
        <v>0.7</v>
      </c>
      <c r="AQ26" s="133">
        <v>1</v>
      </c>
      <c r="AR26" s="133">
        <v>0.5</v>
      </c>
      <c r="AS26" s="133">
        <v>0.5</v>
      </c>
      <c r="AT26" s="133">
        <v>0.5</v>
      </c>
      <c r="AU26" s="133">
        <v>0.5</v>
      </c>
      <c r="AV26" s="133">
        <v>0</v>
      </c>
      <c r="AW26" s="133">
        <v>0</v>
      </c>
      <c r="AX26" s="133">
        <v>0</v>
      </c>
      <c r="AY26" s="133">
        <v>0</v>
      </c>
      <c r="AZ26" s="420">
        <v>0</v>
      </c>
      <c r="BA26" s="421">
        <v>0</v>
      </c>
      <c r="BB26" s="421">
        <v>0</v>
      </c>
      <c r="BC26" s="421">
        <v>0</v>
      </c>
      <c r="BD26" s="421">
        <v>0</v>
      </c>
      <c r="BE26" s="421">
        <v>0</v>
      </c>
      <c r="BF26" s="421">
        <v>0</v>
      </c>
      <c r="BG26" s="421">
        <v>0</v>
      </c>
      <c r="BH26" s="421">
        <v>0</v>
      </c>
      <c r="BI26" s="421">
        <v>0</v>
      </c>
      <c r="BJ26" s="421">
        <v>0</v>
      </c>
      <c r="BK26" s="421">
        <v>0</v>
      </c>
      <c r="BL26" s="421">
        <v>0</v>
      </c>
      <c r="BM26" s="421">
        <v>0</v>
      </c>
      <c r="BN26" s="421">
        <v>0</v>
      </c>
      <c r="BO26" s="421">
        <v>0</v>
      </c>
      <c r="BP26" s="421">
        <v>0</v>
      </c>
      <c r="BQ26" s="421">
        <v>0</v>
      </c>
    </row>
    <row r="27" spans="1:69" x14ac:dyDescent="0.25">
      <c r="A27" s="129">
        <v>3</v>
      </c>
      <c r="B27" s="129">
        <v>26</v>
      </c>
      <c r="C27" s="129" t="s">
        <v>222</v>
      </c>
      <c r="D27" s="129" t="s">
        <v>222</v>
      </c>
      <c r="E27" s="129" t="s">
        <v>166</v>
      </c>
      <c r="F27" s="129" t="s">
        <v>216</v>
      </c>
      <c r="G27" s="129" t="s">
        <v>465</v>
      </c>
      <c r="H27" s="129" t="s">
        <v>223</v>
      </c>
      <c r="I27" s="129" t="s">
        <v>224</v>
      </c>
      <c r="J27" s="129" t="s">
        <v>225</v>
      </c>
      <c r="K27" s="129" t="s">
        <v>168</v>
      </c>
      <c r="L27" s="130">
        <v>3</v>
      </c>
      <c r="M27" s="394">
        <v>46388</v>
      </c>
      <c r="N27" s="394">
        <v>47025</v>
      </c>
      <c r="O27" s="394">
        <v>46211</v>
      </c>
      <c r="P27" s="131">
        <v>268429155.5</v>
      </c>
      <c r="Q27" s="131" t="s">
        <v>454</v>
      </c>
      <c r="R27" s="129" t="s">
        <v>220</v>
      </c>
      <c r="S27" s="132">
        <v>0.3</v>
      </c>
      <c r="T27" s="130">
        <f>AA27*S27</f>
        <v>60</v>
      </c>
      <c r="U27" s="130">
        <f>T27*3</f>
        <v>180</v>
      </c>
      <c r="V27" s="132">
        <f>AB27/AA27</f>
        <v>0.32500000000000001</v>
      </c>
      <c r="W27" s="130">
        <f>AA27*V27</f>
        <v>65</v>
      </c>
      <c r="X27" s="130">
        <f>W27*3</f>
        <v>195</v>
      </c>
      <c r="Y27" s="131">
        <f>P27/AA27</f>
        <v>1342145.7775000001</v>
      </c>
      <c r="Z27" s="131">
        <f>P27/AB27</f>
        <v>4129679.3153846152</v>
      </c>
      <c r="AA27" s="130">
        <v>200</v>
      </c>
      <c r="AB27" s="130">
        <v>65</v>
      </c>
      <c r="AC27" s="129" t="s">
        <v>226</v>
      </c>
      <c r="AD27" s="129" t="s">
        <v>167</v>
      </c>
      <c r="AE27" s="133">
        <f>(AH27*10%)+(AJ27*10%)+(AK27*20%)+(AM27*10%)+(AO27*20%)+(AQ27*10%)+(AR27*5%)+(AT27*5%)+(AV27*5%)+(AX27*5%)</f>
        <v>0.68</v>
      </c>
      <c r="AF27" s="133">
        <f>(AI27*10%)+(AJ27*10%)+(AL27*20%)+(AN27*10%)+(AP27*20%)+(AQ27*10%)+(AS27*5%)+(AU27*5%)+(AW27*5%)+(AY27*5%)</f>
        <v>0.51500000000000001</v>
      </c>
      <c r="AG27" s="133">
        <f>(AE27*80%)+(AF27*20%)</f>
        <v>0.64700000000000002</v>
      </c>
      <c r="AH27" s="133">
        <v>1</v>
      </c>
      <c r="AI27" s="133">
        <v>0.5</v>
      </c>
      <c r="AJ27" s="133">
        <v>1</v>
      </c>
      <c r="AK27" s="133">
        <v>0.7</v>
      </c>
      <c r="AL27" s="133">
        <v>0.5</v>
      </c>
      <c r="AM27" s="133">
        <v>0</v>
      </c>
      <c r="AN27" s="133">
        <v>0</v>
      </c>
      <c r="AO27" s="133">
        <v>0.7</v>
      </c>
      <c r="AP27" s="133">
        <v>0.7</v>
      </c>
      <c r="AQ27" s="133">
        <v>1</v>
      </c>
      <c r="AR27" s="133">
        <v>1</v>
      </c>
      <c r="AS27" s="133">
        <v>0</v>
      </c>
      <c r="AT27" s="133">
        <v>0</v>
      </c>
      <c r="AU27" s="133">
        <v>0</v>
      </c>
      <c r="AV27" s="133">
        <v>0.5</v>
      </c>
      <c r="AW27" s="133">
        <v>0</v>
      </c>
      <c r="AX27" s="133">
        <v>0.5</v>
      </c>
      <c r="AY27" s="133">
        <v>0.5</v>
      </c>
      <c r="AZ27" s="420">
        <v>0</v>
      </c>
      <c r="BA27" s="421">
        <v>0</v>
      </c>
      <c r="BB27" s="421">
        <v>0</v>
      </c>
      <c r="BC27" s="421">
        <v>0</v>
      </c>
      <c r="BD27" s="421">
        <v>0</v>
      </c>
      <c r="BE27" s="421">
        <v>0</v>
      </c>
      <c r="BF27" s="421">
        <v>0</v>
      </c>
      <c r="BG27" s="421">
        <v>0</v>
      </c>
      <c r="BH27" s="421">
        <v>0</v>
      </c>
      <c r="BI27" s="421">
        <v>0</v>
      </c>
      <c r="BJ27" s="421">
        <v>0</v>
      </c>
      <c r="BK27" s="421">
        <v>0</v>
      </c>
      <c r="BL27" s="421">
        <v>0</v>
      </c>
      <c r="BM27" s="421">
        <v>0</v>
      </c>
      <c r="BN27" s="421">
        <v>0</v>
      </c>
      <c r="BO27" s="421">
        <v>0</v>
      </c>
      <c r="BP27" s="421">
        <v>0</v>
      </c>
      <c r="BQ27" s="421">
        <v>0</v>
      </c>
    </row>
    <row r="28" spans="1:69" x14ac:dyDescent="0.25">
      <c r="A28" s="129">
        <v>4</v>
      </c>
      <c r="B28" s="129">
        <v>27</v>
      </c>
      <c r="C28" s="129" t="s">
        <v>227</v>
      </c>
      <c r="D28" s="129" t="s">
        <v>227</v>
      </c>
      <c r="E28" s="129" t="s">
        <v>70</v>
      </c>
      <c r="F28" s="129" t="s">
        <v>228</v>
      </c>
      <c r="G28" s="129" t="s">
        <v>465</v>
      </c>
      <c r="H28" s="129" t="s">
        <v>229</v>
      </c>
      <c r="I28" s="129" t="s">
        <v>230</v>
      </c>
      <c r="J28" s="129" t="s">
        <v>231</v>
      </c>
      <c r="K28" s="129" t="s">
        <v>73</v>
      </c>
      <c r="L28" s="130">
        <v>4</v>
      </c>
      <c r="M28" s="394">
        <v>46507</v>
      </c>
      <c r="N28" s="394">
        <v>47054</v>
      </c>
      <c r="O28" s="394">
        <v>46216</v>
      </c>
      <c r="P28" s="131">
        <v>152328187</v>
      </c>
      <c r="Q28" s="131" t="s">
        <v>453</v>
      </c>
      <c r="R28" s="129" t="s">
        <v>232</v>
      </c>
      <c r="S28" s="132">
        <v>0.3</v>
      </c>
      <c r="T28" s="130">
        <f>AA28*S28</f>
        <v>27</v>
      </c>
      <c r="U28" s="130">
        <f>T28*3</f>
        <v>81</v>
      </c>
      <c r="V28" s="132">
        <f>AB28/AA28</f>
        <v>1</v>
      </c>
      <c r="W28" s="130">
        <f>AA28*V28</f>
        <v>90</v>
      </c>
      <c r="X28" s="130">
        <f>W28*3</f>
        <v>270</v>
      </c>
      <c r="Y28" s="131">
        <f>P28/AA28</f>
        <v>1692535.4111111111</v>
      </c>
      <c r="Z28" s="131">
        <f>P28/AB28</f>
        <v>1692535.4111111111</v>
      </c>
      <c r="AA28" s="130">
        <v>90</v>
      </c>
      <c r="AB28" s="130">
        <v>90</v>
      </c>
      <c r="AC28" s="129" t="s">
        <v>233</v>
      </c>
      <c r="AD28" s="129" t="s">
        <v>71</v>
      </c>
      <c r="AE28" s="133">
        <f>(AH28*10%)+(AJ28*10%)+(AK28*20%)+(AM28*10%)+(AO28*20%)+(AQ28*10%)+(AR28*5%)+(AT28*5%)+(AV28*5%)+(AX28*5%)</f>
        <v>0.82500000000000018</v>
      </c>
      <c r="AF28" s="133">
        <f>(AI28*10%)+(AJ28*10%)+(AL28*20%)+(AN28*10%)+(AP28*20%)+(AQ28*10%)+(AS28*5%)+(AU28*5%)+(AW28*5%)+(AY28*5%)</f>
        <v>0.80500000000000016</v>
      </c>
      <c r="AG28" s="133">
        <f>(AE28*80%)+(AF28*20%)</f>
        <v>0.82100000000000017</v>
      </c>
      <c r="AH28" s="133">
        <v>1</v>
      </c>
      <c r="AI28" s="133">
        <v>0.8</v>
      </c>
      <c r="AJ28" s="133">
        <v>0.9</v>
      </c>
      <c r="AK28" s="133">
        <v>0.8</v>
      </c>
      <c r="AL28" s="133">
        <v>0.8</v>
      </c>
      <c r="AM28" s="133">
        <v>0.5</v>
      </c>
      <c r="AN28" s="133">
        <v>0.5</v>
      </c>
      <c r="AO28" s="133">
        <v>0.8</v>
      </c>
      <c r="AP28" s="133">
        <v>0.8</v>
      </c>
      <c r="AQ28" s="133">
        <v>1</v>
      </c>
      <c r="AR28" s="133">
        <v>0.5</v>
      </c>
      <c r="AS28" s="133">
        <v>0.5</v>
      </c>
      <c r="AT28" s="133">
        <v>1</v>
      </c>
      <c r="AU28" s="133">
        <v>1</v>
      </c>
      <c r="AV28" s="133">
        <v>0.8</v>
      </c>
      <c r="AW28" s="133">
        <v>0.8</v>
      </c>
      <c r="AX28" s="133">
        <v>1</v>
      </c>
      <c r="AY28" s="133">
        <v>1</v>
      </c>
      <c r="AZ28" s="420" t="s">
        <v>60</v>
      </c>
      <c r="BA28" s="421">
        <v>0</v>
      </c>
      <c r="BB28" s="421" t="s">
        <v>60</v>
      </c>
      <c r="BC28" s="421" t="s">
        <v>425</v>
      </c>
      <c r="BD28" s="421">
        <v>0</v>
      </c>
      <c r="BE28" s="421" t="s">
        <v>422</v>
      </c>
      <c r="BF28" s="421">
        <v>0</v>
      </c>
      <c r="BG28" s="421" t="s">
        <v>423</v>
      </c>
      <c r="BH28" s="421">
        <v>0</v>
      </c>
      <c r="BI28" s="421" t="s">
        <v>59</v>
      </c>
      <c r="BJ28" s="421" t="s">
        <v>425</v>
      </c>
      <c r="BK28" s="421">
        <v>0</v>
      </c>
      <c r="BL28" s="421" t="s">
        <v>60</v>
      </c>
      <c r="BM28" s="421">
        <v>0</v>
      </c>
      <c r="BN28" s="421" t="s">
        <v>425</v>
      </c>
      <c r="BO28" s="421">
        <v>0</v>
      </c>
      <c r="BP28" s="421" t="s">
        <v>60</v>
      </c>
      <c r="BQ28" s="421">
        <v>0</v>
      </c>
    </row>
    <row r="29" spans="1:69" x14ac:dyDescent="0.25">
      <c r="A29" s="140">
        <v>35</v>
      </c>
      <c r="B29" s="140">
        <v>28</v>
      </c>
      <c r="C29" s="140" t="s">
        <v>384</v>
      </c>
      <c r="D29" s="140" t="s">
        <v>384</v>
      </c>
      <c r="E29" s="140" t="s">
        <v>169</v>
      </c>
      <c r="F29" s="140" t="s">
        <v>385</v>
      </c>
      <c r="G29" s="140" t="s">
        <v>465</v>
      </c>
      <c r="H29" s="140" t="s">
        <v>386</v>
      </c>
      <c r="I29" s="140" t="s">
        <v>387</v>
      </c>
      <c r="J29" s="140" t="s">
        <v>388</v>
      </c>
      <c r="K29" s="140" t="s">
        <v>171</v>
      </c>
      <c r="L29" s="141" t="s">
        <v>389</v>
      </c>
      <c r="M29" s="396">
        <v>46477</v>
      </c>
      <c r="N29" s="396">
        <v>47302</v>
      </c>
      <c r="O29" s="396" t="s">
        <v>374</v>
      </c>
      <c r="P29" s="143" t="s">
        <v>374</v>
      </c>
      <c r="Q29" s="143" t="s">
        <v>454</v>
      </c>
      <c r="R29" s="140" t="s">
        <v>374</v>
      </c>
      <c r="S29" s="427">
        <v>0.3</v>
      </c>
      <c r="T29" s="141">
        <f>AA29*S29</f>
        <v>81</v>
      </c>
      <c r="U29" s="141">
        <f>T29*3</f>
        <v>243</v>
      </c>
      <c r="V29" s="427">
        <f>AB29/AA29</f>
        <v>0.3</v>
      </c>
      <c r="W29" s="141">
        <f>AA29*V29</f>
        <v>81</v>
      </c>
      <c r="X29" s="141">
        <f>W29*3</f>
        <v>243</v>
      </c>
      <c r="Y29" s="143" t="e">
        <f>P29/AA29</f>
        <v>#VALUE!</v>
      </c>
      <c r="Z29" s="143" t="e">
        <f>P29/AB29</f>
        <v>#VALUE!</v>
      </c>
      <c r="AA29" s="141">
        <v>270</v>
      </c>
      <c r="AB29" s="141">
        <v>81</v>
      </c>
      <c r="AC29" s="140" t="s">
        <v>390</v>
      </c>
      <c r="AD29" s="140" t="s">
        <v>170</v>
      </c>
      <c r="AE29" s="428">
        <f>(AH29*10%)+(AJ29*10%)+(AK29*20%)+(AM29*10%)+(AO29*20%)+(AQ29*10%)+(AR29*5%)+(AT29*5%)+(AV29*5%)+(AX29*5%)</f>
        <v>0.44000000000000006</v>
      </c>
      <c r="AF29" s="428">
        <f>(AI29*10%)+(AJ29*10%)+(AL29*20%)+(AN29*10%)+(AP29*20%)+(AQ29*10%)+(AS29*5%)+(AU29*5%)+(AW29*5%)+(AY29*5%)</f>
        <v>0.255</v>
      </c>
      <c r="AG29" s="428">
        <f>(AE29*80%)+(AF29*20%)</f>
        <v>0.40300000000000008</v>
      </c>
      <c r="AH29" s="428">
        <v>0.5</v>
      </c>
      <c r="AI29" s="428">
        <v>0.3</v>
      </c>
      <c r="AJ29" s="428">
        <v>1</v>
      </c>
      <c r="AK29" s="428">
        <v>0.7</v>
      </c>
      <c r="AL29" s="428">
        <v>0</v>
      </c>
      <c r="AM29" s="428">
        <v>0</v>
      </c>
      <c r="AN29" s="428">
        <v>0</v>
      </c>
      <c r="AO29" s="428">
        <v>0</v>
      </c>
      <c r="AP29" s="428">
        <v>0</v>
      </c>
      <c r="AQ29" s="428">
        <v>1</v>
      </c>
      <c r="AR29" s="428">
        <v>0</v>
      </c>
      <c r="AS29" s="428">
        <v>0</v>
      </c>
      <c r="AT29" s="428">
        <v>0.5</v>
      </c>
      <c r="AU29" s="428">
        <v>0.5</v>
      </c>
      <c r="AV29" s="428">
        <v>0.5</v>
      </c>
      <c r="AW29" s="428">
        <v>0</v>
      </c>
      <c r="AX29" s="428">
        <v>0</v>
      </c>
      <c r="AY29" s="428">
        <v>0</v>
      </c>
      <c r="AZ29" s="429">
        <v>0</v>
      </c>
      <c r="BA29" s="430">
        <v>0</v>
      </c>
      <c r="BB29" s="430">
        <v>0</v>
      </c>
      <c r="BC29" s="430">
        <v>0</v>
      </c>
      <c r="BD29" s="430">
        <v>0</v>
      </c>
      <c r="BE29" s="430">
        <v>0</v>
      </c>
      <c r="BF29" s="430">
        <v>0</v>
      </c>
      <c r="BG29" s="430">
        <v>0</v>
      </c>
      <c r="BH29" s="430">
        <v>0</v>
      </c>
      <c r="BI29" s="430">
        <v>0</v>
      </c>
      <c r="BJ29" s="430">
        <v>0</v>
      </c>
      <c r="BK29" s="430">
        <v>0</v>
      </c>
      <c r="BL29" s="430">
        <v>0</v>
      </c>
      <c r="BM29" s="430">
        <v>0</v>
      </c>
      <c r="BN29" s="430">
        <v>0</v>
      </c>
      <c r="BO29" s="430">
        <v>0</v>
      </c>
      <c r="BP29" s="430">
        <v>0</v>
      </c>
      <c r="BQ29" s="430">
        <v>0</v>
      </c>
    </row>
    <row r="30" spans="1:69" x14ac:dyDescent="0.25">
      <c r="A30" s="129">
        <v>10</v>
      </c>
      <c r="B30" s="129">
        <v>29</v>
      </c>
      <c r="C30" s="129" t="s">
        <v>266</v>
      </c>
      <c r="D30" s="129" t="s">
        <v>266</v>
      </c>
      <c r="E30" s="129" t="s">
        <v>84</v>
      </c>
      <c r="F30" s="129" t="s">
        <v>254</v>
      </c>
      <c r="G30" s="129" t="s">
        <v>465</v>
      </c>
      <c r="H30" s="129" t="s">
        <v>267</v>
      </c>
      <c r="I30" s="129" t="s">
        <v>268</v>
      </c>
      <c r="J30" s="129" t="s">
        <v>269</v>
      </c>
      <c r="K30" s="129" t="s">
        <v>87</v>
      </c>
      <c r="L30" s="134">
        <v>3.016</v>
      </c>
      <c r="M30" s="394">
        <v>46327</v>
      </c>
      <c r="N30" s="394">
        <v>46844</v>
      </c>
      <c r="O30" s="394">
        <v>46206</v>
      </c>
      <c r="P30" s="131">
        <v>18768631.300000001</v>
      </c>
      <c r="Q30" s="131" t="s">
        <v>453</v>
      </c>
      <c r="R30" s="129" t="s">
        <v>258</v>
      </c>
      <c r="S30" s="132">
        <v>0.3</v>
      </c>
      <c r="T30" s="130">
        <f>AA30*S30</f>
        <v>5.76</v>
      </c>
      <c r="U30" s="130">
        <f>T30*3</f>
        <v>17.28</v>
      </c>
      <c r="V30" s="132">
        <f>AB30/AA30</f>
        <v>0.31770833333333331</v>
      </c>
      <c r="W30" s="130">
        <f>AA30*V30</f>
        <v>6.1</v>
      </c>
      <c r="X30" s="130">
        <f>W30*3</f>
        <v>18.299999999999997</v>
      </c>
      <c r="Y30" s="131">
        <f>P30/AA30</f>
        <v>977532.88020833337</v>
      </c>
      <c r="Z30" s="131">
        <f>P30/AB30</f>
        <v>3076824.8032786888</v>
      </c>
      <c r="AA30" s="130">
        <v>19.2</v>
      </c>
      <c r="AB30" s="130">
        <v>6.1</v>
      </c>
      <c r="AC30" s="129" t="s">
        <v>270</v>
      </c>
      <c r="AD30" s="129" t="s">
        <v>85</v>
      </c>
      <c r="AE30" s="133">
        <f>(AH30*10%)+(AJ30*10%)+(AK30*20%)+(AM30*10%)+(AO30*20%)+(AQ30*10%)+(AR30*5%)+(AT30*5%)+(AV30*5%)+(AX30*5%)</f>
        <v>0.86000000000000021</v>
      </c>
      <c r="AF30" s="133">
        <f>(AI30*10%)+(AJ30*10%)+(AL30*20%)+(AN30*10%)+(AP30*20%)+(AQ30*10%)+(AS30*5%)+(AU30*5%)+(AW30*5%)+(AY30*5%)</f>
        <v>0.77000000000000013</v>
      </c>
      <c r="AG30" s="133">
        <f>(AE30*80%)+(AF30*20%)</f>
        <v>0.84200000000000019</v>
      </c>
      <c r="AH30" s="133">
        <v>0.9</v>
      </c>
      <c r="AI30" s="133">
        <v>0</v>
      </c>
      <c r="AJ30" s="133">
        <v>1</v>
      </c>
      <c r="AK30" s="133">
        <v>0.8</v>
      </c>
      <c r="AL30" s="133">
        <v>0.8</v>
      </c>
      <c r="AM30" s="133">
        <v>1</v>
      </c>
      <c r="AN30" s="133">
        <v>1</v>
      </c>
      <c r="AO30" s="133">
        <v>1</v>
      </c>
      <c r="AP30" s="133">
        <v>1</v>
      </c>
      <c r="AQ30" s="133">
        <v>1</v>
      </c>
      <c r="AR30" s="133">
        <v>0.7</v>
      </c>
      <c r="AS30" s="133">
        <v>0.7</v>
      </c>
      <c r="AT30" s="133">
        <v>1</v>
      </c>
      <c r="AU30" s="133">
        <v>1</v>
      </c>
      <c r="AV30" s="133">
        <v>0</v>
      </c>
      <c r="AW30" s="133">
        <v>0</v>
      </c>
      <c r="AX30" s="133">
        <v>0.5</v>
      </c>
      <c r="AY30" s="133">
        <v>0.5</v>
      </c>
      <c r="AZ30" s="420" t="s">
        <v>423</v>
      </c>
      <c r="BA30" s="421">
        <v>0</v>
      </c>
      <c r="BB30" s="421" t="s">
        <v>60</v>
      </c>
      <c r="BC30" s="421" t="s">
        <v>425</v>
      </c>
      <c r="BD30" s="421">
        <v>0</v>
      </c>
      <c r="BE30" s="421" t="s">
        <v>59</v>
      </c>
      <c r="BF30" s="421">
        <v>0</v>
      </c>
      <c r="BG30" s="421" t="s">
        <v>60</v>
      </c>
      <c r="BH30" s="421">
        <v>0</v>
      </c>
      <c r="BI30" s="421" t="s">
        <v>59</v>
      </c>
      <c r="BJ30" s="421" t="s">
        <v>423</v>
      </c>
      <c r="BK30" s="421">
        <v>0</v>
      </c>
      <c r="BL30" s="421" t="s">
        <v>60</v>
      </c>
      <c r="BM30" s="421">
        <v>0</v>
      </c>
      <c r="BN30" s="421" t="s">
        <v>422</v>
      </c>
      <c r="BO30" s="421">
        <v>0</v>
      </c>
      <c r="BP30" s="421" t="s">
        <v>425</v>
      </c>
      <c r="BQ30" s="421">
        <v>0</v>
      </c>
    </row>
    <row r="31" spans="1:69" x14ac:dyDescent="0.25">
      <c r="A31" s="129">
        <v>9</v>
      </c>
      <c r="B31" s="129">
        <v>30</v>
      </c>
      <c r="C31" s="129" t="s">
        <v>261</v>
      </c>
      <c r="D31" s="129" t="s">
        <v>261</v>
      </c>
      <c r="E31" s="129" t="s">
        <v>172</v>
      </c>
      <c r="F31" s="129" t="s">
        <v>254</v>
      </c>
      <c r="G31" s="129" t="s">
        <v>465</v>
      </c>
      <c r="H31" s="129" t="s">
        <v>262</v>
      </c>
      <c r="I31" s="129" t="s">
        <v>263</v>
      </c>
      <c r="J31" s="129" t="s">
        <v>264</v>
      </c>
      <c r="K31" s="129" t="s">
        <v>174</v>
      </c>
      <c r="L31" s="130">
        <v>3.08</v>
      </c>
      <c r="M31" s="394">
        <v>46447</v>
      </c>
      <c r="N31" s="394">
        <v>47085</v>
      </c>
      <c r="O31" s="394">
        <v>46206</v>
      </c>
      <c r="P31" s="131">
        <v>119934283</v>
      </c>
      <c r="Q31" s="131" t="s">
        <v>454</v>
      </c>
      <c r="R31" s="129" t="s">
        <v>258</v>
      </c>
      <c r="S31" s="132">
        <v>0.3</v>
      </c>
      <c r="T31" s="130">
        <f>AA31*S31</f>
        <v>33</v>
      </c>
      <c r="U31" s="130">
        <f>T31*3</f>
        <v>99</v>
      </c>
      <c r="V31" s="132">
        <f>AB31/AA31</f>
        <v>0.3</v>
      </c>
      <c r="W31" s="130">
        <f>AA31*V31</f>
        <v>33</v>
      </c>
      <c r="X31" s="130">
        <f>W31*3</f>
        <v>99</v>
      </c>
      <c r="Y31" s="131">
        <f>P31/AA31</f>
        <v>1090311.6636363636</v>
      </c>
      <c r="Z31" s="131">
        <f>P31/AB31</f>
        <v>3634372.2121212119</v>
      </c>
      <c r="AA31" s="130">
        <v>110</v>
      </c>
      <c r="AB31" s="130">
        <v>33</v>
      </c>
      <c r="AC31" s="129" t="s">
        <v>265</v>
      </c>
      <c r="AD31" s="129" t="s">
        <v>173</v>
      </c>
      <c r="AE31" s="133">
        <f>(AH31*10%)+(AJ31*10%)+(AK31*20%)+(AM31*10%)+(AO31*20%)+(AQ31*10%)+(AR31*5%)+(AT31*5%)+(AV31*5%)+(AX31*5%)</f>
        <v>0.64000000000000012</v>
      </c>
      <c r="AF31" s="133">
        <f>(AI31*10%)+(AJ31*10%)+(AL31*20%)+(AN31*10%)+(AP31*20%)+(AQ31*10%)+(AS31*5%)+(AU31*5%)+(AW31*5%)+(AY31*5%)</f>
        <v>0.64000000000000012</v>
      </c>
      <c r="AG31" s="133">
        <f>(AE31*80%)+(AF31*20%)</f>
        <v>0.64000000000000012</v>
      </c>
      <c r="AH31" s="133">
        <v>1</v>
      </c>
      <c r="AI31" s="133">
        <v>1</v>
      </c>
      <c r="AJ31" s="133">
        <v>1</v>
      </c>
      <c r="AK31" s="133">
        <v>0.9</v>
      </c>
      <c r="AL31" s="133">
        <v>0.9</v>
      </c>
      <c r="AM31" s="133">
        <v>0</v>
      </c>
      <c r="AN31" s="133">
        <v>0</v>
      </c>
      <c r="AO31" s="133">
        <v>0.8</v>
      </c>
      <c r="AP31" s="133">
        <v>0.8</v>
      </c>
      <c r="AQ31" s="133">
        <v>0</v>
      </c>
      <c r="AR31" s="133">
        <v>0</v>
      </c>
      <c r="AS31" s="133">
        <v>0</v>
      </c>
      <c r="AT31" s="133">
        <v>1</v>
      </c>
      <c r="AU31" s="133">
        <v>1</v>
      </c>
      <c r="AV31" s="133">
        <v>0</v>
      </c>
      <c r="AW31" s="133">
        <v>0</v>
      </c>
      <c r="AX31" s="133">
        <v>1</v>
      </c>
      <c r="AY31" s="133">
        <v>1</v>
      </c>
      <c r="AZ31" s="420">
        <v>0</v>
      </c>
      <c r="BA31" s="421">
        <v>0</v>
      </c>
      <c r="BB31" s="421">
        <v>0</v>
      </c>
      <c r="BC31" s="421">
        <v>0</v>
      </c>
      <c r="BD31" s="421">
        <v>0</v>
      </c>
      <c r="BE31" s="421">
        <v>0</v>
      </c>
      <c r="BF31" s="421">
        <v>0</v>
      </c>
      <c r="BG31" s="421">
        <v>0</v>
      </c>
      <c r="BH31" s="421">
        <v>0</v>
      </c>
      <c r="BI31" s="421">
        <v>0</v>
      </c>
      <c r="BJ31" s="421">
        <v>0</v>
      </c>
      <c r="BK31" s="421">
        <v>0</v>
      </c>
      <c r="BL31" s="421">
        <v>0</v>
      </c>
      <c r="BM31" s="421">
        <v>0</v>
      </c>
      <c r="BN31" s="421">
        <v>0</v>
      </c>
      <c r="BO31" s="421">
        <v>0</v>
      </c>
      <c r="BP31" s="421">
        <v>0</v>
      </c>
      <c r="BQ31" s="421">
        <v>0</v>
      </c>
    </row>
    <row r="32" spans="1:69" x14ac:dyDescent="0.25">
      <c r="A32" s="129">
        <v>8</v>
      </c>
      <c r="B32" s="129">
        <v>31</v>
      </c>
      <c r="C32" s="129" t="s">
        <v>253</v>
      </c>
      <c r="D32" s="129" t="s">
        <v>253</v>
      </c>
      <c r="E32" s="129" t="s">
        <v>175</v>
      </c>
      <c r="F32" s="129" t="s">
        <v>254</v>
      </c>
      <c r="G32" s="129" t="s">
        <v>465</v>
      </c>
      <c r="H32" s="129" t="s">
        <v>255</v>
      </c>
      <c r="I32" s="129" t="s">
        <v>256</v>
      </c>
      <c r="J32" s="129" t="s">
        <v>257</v>
      </c>
      <c r="K32" s="129" t="s">
        <v>176</v>
      </c>
      <c r="L32" s="130">
        <v>3.18</v>
      </c>
      <c r="M32" s="394">
        <v>46447</v>
      </c>
      <c r="N32" s="394">
        <v>47088</v>
      </c>
      <c r="O32" s="394">
        <v>46206</v>
      </c>
      <c r="P32" s="131">
        <v>78344588</v>
      </c>
      <c r="Q32" s="131" t="s">
        <v>454</v>
      </c>
      <c r="R32" s="129" t="s">
        <v>258</v>
      </c>
      <c r="S32" s="132">
        <v>0.3</v>
      </c>
      <c r="T32" s="130">
        <f>AA32*S32</f>
        <v>22.5</v>
      </c>
      <c r="U32" s="130">
        <f>T32*3</f>
        <v>67.5</v>
      </c>
      <c r="V32" s="132">
        <f>AB32/AA32</f>
        <v>0.3</v>
      </c>
      <c r="W32" s="130">
        <f>AA32*V32</f>
        <v>22.5</v>
      </c>
      <c r="X32" s="130">
        <f>W32*3</f>
        <v>67.5</v>
      </c>
      <c r="Y32" s="131">
        <f>P32/AA32</f>
        <v>1044594.5066666667</v>
      </c>
      <c r="Z32" s="131">
        <f>P32/AB32</f>
        <v>3481981.6888888888</v>
      </c>
      <c r="AA32" s="130">
        <v>75</v>
      </c>
      <c r="AB32" s="130">
        <v>22.5</v>
      </c>
      <c r="AC32" s="129" t="s">
        <v>259</v>
      </c>
      <c r="AD32" s="129" t="s">
        <v>260</v>
      </c>
      <c r="AE32" s="133">
        <f>(AH32*10%)+(AJ32*10%)+(AK32*20%)+(AM32*10%)+(AO32*20%)+(AQ32*10%)+(AR32*5%)+(AT32*5%)+(AV32*5%)+(AX32*5%)</f>
        <v>0.65500000000000003</v>
      </c>
      <c r="AF32" s="133">
        <f>(AI32*10%)+(AJ32*10%)+(AL32*20%)+(AN32*10%)+(AP32*20%)+(AQ32*10%)+(AS32*5%)+(AU32*5%)+(AW32*5%)+(AY32*5%)</f>
        <v>0.43</v>
      </c>
      <c r="AG32" s="133">
        <f>(AE32*80%)+(AF32*20%)</f>
        <v>0.61</v>
      </c>
      <c r="AH32" s="133">
        <v>1</v>
      </c>
      <c r="AI32" s="133">
        <v>0</v>
      </c>
      <c r="AJ32" s="133">
        <v>1</v>
      </c>
      <c r="AK32" s="133">
        <v>0.7</v>
      </c>
      <c r="AL32" s="133">
        <v>0.7</v>
      </c>
      <c r="AM32" s="133">
        <v>1</v>
      </c>
      <c r="AN32" s="133">
        <v>0</v>
      </c>
      <c r="AO32" s="133">
        <v>0.7</v>
      </c>
      <c r="AP32" s="133">
        <v>0.7</v>
      </c>
      <c r="AQ32" s="133">
        <v>0</v>
      </c>
      <c r="AR32" s="133">
        <v>0.5</v>
      </c>
      <c r="AS32" s="133">
        <v>0</v>
      </c>
      <c r="AT32" s="133">
        <v>1</v>
      </c>
      <c r="AU32" s="133">
        <v>1</v>
      </c>
      <c r="AV32" s="133">
        <v>0</v>
      </c>
      <c r="AW32" s="133">
        <v>0</v>
      </c>
      <c r="AX32" s="133">
        <v>0</v>
      </c>
      <c r="AY32" s="133">
        <v>0</v>
      </c>
      <c r="AZ32" s="420">
        <v>0</v>
      </c>
      <c r="BA32" s="421">
        <v>0</v>
      </c>
      <c r="BB32" s="421">
        <v>0</v>
      </c>
      <c r="BC32" s="421">
        <v>0</v>
      </c>
      <c r="BD32" s="421">
        <v>0</v>
      </c>
      <c r="BE32" s="421">
        <v>0</v>
      </c>
      <c r="BF32" s="421">
        <v>0</v>
      </c>
      <c r="BG32" s="421">
        <v>0</v>
      </c>
      <c r="BH32" s="421">
        <v>0</v>
      </c>
      <c r="BI32" s="421">
        <v>0</v>
      </c>
      <c r="BJ32" s="421">
        <v>0</v>
      </c>
      <c r="BK32" s="421">
        <v>0</v>
      </c>
      <c r="BL32" s="421">
        <v>0</v>
      </c>
      <c r="BM32" s="421">
        <v>0</v>
      </c>
      <c r="BN32" s="421">
        <v>0</v>
      </c>
      <c r="BO32" s="421">
        <v>0</v>
      </c>
      <c r="BP32" s="421">
        <v>0</v>
      </c>
      <c r="BQ32" s="421">
        <v>0</v>
      </c>
    </row>
    <row r="33" spans="1:69" x14ac:dyDescent="0.25">
      <c r="A33" s="129">
        <v>30</v>
      </c>
      <c r="B33" s="129">
        <v>32</v>
      </c>
      <c r="C33" s="129" t="s">
        <v>362</v>
      </c>
      <c r="D33" s="129" t="s">
        <v>362</v>
      </c>
      <c r="E33" s="129" t="s">
        <v>74</v>
      </c>
      <c r="F33" s="129" t="s">
        <v>363</v>
      </c>
      <c r="G33" s="129" t="s">
        <v>465</v>
      </c>
      <c r="H33" s="129" t="s">
        <v>364</v>
      </c>
      <c r="I33" s="129" t="s">
        <v>365</v>
      </c>
      <c r="J33" s="129" t="s">
        <v>366</v>
      </c>
      <c r="K33" s="129" t="s">
        <v>77</v>
      </c>
      <c r="L33" s="130">
        <v>3</v>
      </c>
      <c r="M33" s="394">
        <v>46357</v>
      </c>
      <c r="N33" s="394">
        <v>46905</v>
      </c>
      <c r="O33" s="394">
        <v>46206</v>
      </c>
      <c r="P33" s="131">
        <v>147073578.90000001</v>
      </c>
      <c r="Q33" s="131" t="s">
        <v>453</v>
      </c>
      <c r="R33" s="129" t="s">
        <v>367</v>
      </c>
      <c r="S33" s="132">
        <v>0.3</v>
      </c>
      <c r="T33" s="130">
        <f>AA33*S33</f>
        <v>42.42</v>
      </c>
      <c r="U33" s="130">
        <f>T33*3</f>
        <v>127.26</v>
      </c>
      <c r="V33" s="132">
        <f>AB33/AA33</f>
        <v>0.3</v>
      </c>
      <c r="W33" s="130">
        <f>AA33*V33</f>
        <v>42.42</v>
      </c>
      <c r="X33" s="130">
        <f>W33*3</f>
        <v>127.26</v>
      </c>
      <c r="Y33" s="131">
        <f>P33/AA33</f>
        <v>1040124.3203677511</v>
      </c>
      <c r="Z33" s="131">
        <f>P33/AB33</f>
        <v>3467081.0678925035</v>
      </c>
      <c r="AA33" s="130">
        <v>141.4</v>
      </c>
      <c r="AB33" s="130">
        <v>42.42</v>
      </c>
      <c r="AC33" s="129" t="s">
        <v>368</v>
      </c>
      <c r="AD33" s="129" t="s">
        <v>75</v>
      </c>
      <c r="AE33" s="133">
        <f>(AH33*10%)+(AJ33*10%)+(AK33*20%)+(AM33*10%)+(AO33*20%)+(AQ33*10%)+(AR33*5%)+(AT33*5%)+(AV33*5%)+(AX33*5%)</f>
        <v>0.86500000000000021</v>
      </c>
      <c r="AF33" s="133">
        <f>(AI33*10%)+(AJ33*10%)+(AL33*20%)+(AN33*10%)+(AP33*20%)+(AQ33*10%)+(AS33*5%)+(AU33*5%)+(AW33*5%)+(AY33*5%)</f>
        <v>0.37</v>
      </c>
      <c r="AG33" s="133">
        <f>(AE33*80%)+(AF33*20%)</f>
        <v>0.76600000000000013</v>
      </c>
      <c r="AH33" s="133">
        <v>0.9</v>
      </c>
      <c r="AI33" s="133">
        <v>0</v>
      </c>
      <c r="AJ33" s="133">
        <v>0.9</v>
      </c>
      <c r="AK33" s="133">
        <v>0.9</v>
      </c>
      <c r="AL33" s="133">
        <v>0.9</v>
      </c>
      <c r="AM33" s="133">
        <v>1</v>
      </c>
      <c r="AN33" s="133">
        <v>0</v>
      </c>
      <c r="AO33" s="133">
        <v>0.9</v>
      </c>
      <c r="AP33" s="133">
        <v>0</v>
      </c>
      <c r="AQ33" s="133">
        <v>1</v>
      </c>
      <c r="AR33" s="133">
        <v>1</v>
      </c>
      <c r="AS33" s="133">
        <v>0</v>
      </c>
      <c r="AT33" s="133">
        <v>1</v>
      </c>
      <c r="AU33" s="133">
        <v>0</v>
      </c>
      <c r="AV33" s="133">
        <v>0.5</v>
      </c>
      <c r="AW33" s="133">
        <v>0</v>
      </c>
      <c r="AX33" s="133">
        <v>0</v>
      </c>
      <c r="AY33" s="133">
        <v>0</v>
      </c>
      <c r="AZ33" s="420" t="s">
        <v>423</v>
      </c>
      <c r="BA33" s="421">
        <v>0</v>
      </c>
      <c r="BB33" s="421" t="s">
        <v>60</v>
      </c>
      <c r="BC33" s="421" t="s">
        <v>425</v>
      </c>
      <c r="BD33" s="421">
        <v>0</v>
      </c>
      <c r="BE33" s="421" t="s">
        <v>59</v>
      </c>
      <c r="BF33" s="421">
        <v>0</v>
      </c>
      <c r="BG33" s="421" t="s">
        <v>425</v>
      </c>
      <c r="BH33" s="421">
        <v>0</v>
      </c>
      <c r="BI33" s="421" t="s">
        <v>59</v>
      </c>
      <c r="BJ33" s="421" t="s">
        <v>60</v>
      </c>
      <c r="BK33" s="421">
        <v>0</v>
      </c>
      <c r="BL33" s="421" t="s">
        <v>60</v>
      </c>
      <c r="BM33" s="421">
        <v>0</v>
      </c>
      <c r="BN33" s="421" t="s">
        <v>425</v>
      </c>
      <c r="BO33" s="421">
        <v>0</v>
      </c>
      <c r="BP33" s="421" t="s">
        <v>422</v>
      </c>
      <c r="BQ33" s="421">
        <v>0</v>
      </c>
    </row>
    <row r="34" spans="1:69" x14ac:dyDescent="0.25">
      <c r="A34" s="129">
        <v>13</v>
      </c>
      <c r="B34" s="129">
        <v>33</v>
      </c>
      <c r="C34" s="129" t="s">
        <v>284</v>
      </c>
      <c r="D34" s="129" t="s">
        <v>284</v>
      </c>
      <c r="E34" s="129" t="s">
        <v>177</v>
      </c>
      <c r="F34" s="129" t="s">
        <v>285</v>
      </c>
      <c r="G34" s="129" t="s">
        <v>465</v>
      </c>
      <c r="H34" s="129" t="s">
        <v>286</v>
      </c>
      <c r="I34" s="129" t="s">
        <v>287</v>
      </c>
      <c r="J34" s="129" t="s">
        <v>288</v>
      </c>
      <c r="K34" s="129" t="s">
        <v>179</v>
      </c>
      <c r="L34" s="130">
        <v>3</v>
      </c>
      <c r="M34" s="394">
        <v>46447</v>
      </c>
      <c r="N34" s="394">
        <v>47119</v>
      </c>
      <c r="O34" s="394">
        <v>46206</v>
      </c>
      <c r="P34" s="131">
        <v>165352298.19999999</v>
      </c>
      <c r="Q34" s="131" t="s">
        <v>454</v>
      </c>
      <c r="R34" s="129" t="s">
        <v>289</v>
      </c>
      <c r="S34" s="132">
        <v>0.3</v>
      </c>
      <c r="T34" s="130">
        <f>AA34*S34</f>
        <v>45</v>
      </c>
      <c r="U34" s="130">
        <f>T34*3</f>
        <v>135</v>
      </c>
      <c r="V34" s="132">
        <f>AB34/AA34</f>
        <v>0.3</v>
      </c>
      <c r="W34" s="130">
        <f>AA34*V34</f>
        <v>45</v>
      </c>
      <c r="X34" s="130">
        <f>W34*3</f>
        <v>135</v>
      </c>
      <c r="Y34" s="131">
        <f>P34/AA34</f>
        <v>1102348.6546666666</v>
      </c>
      <c r="Z34" s="131">
        <f>P34/AB34</f>
        <v>3674495.5155555555</v>
      </c>
      <c r="AA34" s="130">
        <v>150</v>
      </c>
      <c r="AB34" s="130">
        <v>45</v>
      </c>
      <c r="AC34" s="129" t="s">
        <v>213</v>
      </c>
      <c r="AD34" s="129" t="s">
        <v>178</v>
      </c>
      <c r="AE34" s="133">
        <f>(AH34*10%)+(AJ34*10%)+(AK34*20%)+(AM34*10%)+(AO34*20%)+(AQ34*10%)+(AR34*5%)+(AT34*5%)+(AV34*5%)+(AX34*5%)</f>
        <v>0.35500000000000009</v>
      </c>
      <c r="AF34" s="133">
        <f>(AI34*10%)+(AJ34*10%)+(AL34*20%)+(AN34*10%)+(AP34*20%)+(AQ34*10%)+(AS34*5%)+(AU34*5%)+(AW34*5%)+(AY34*5%)</f>
        <v>0.35000000000000009</v>
      </c>
      <c r="AG34" s="133">
        <f>(AE34*80%)+(AF34*20%)</f>
        <v>0.35400000000000009</v>
      </c>
      <c r="AH34" s="133">
        <v>0.8</v>
      </c>
      <c r="AI34" s="133">
        <v>0</v>
      </c>
      <c r="AJ34" s="133">
        <v>1</v>
      </c>
      <c r="AK34" s="133">
        <v>0</v>
      </c>
      <c r="AL34" s="133">
        <v>0</v>
      </c>
      <c r="AM34" s="133">
        <v>0</v>
      </c>
      <c r="AN34" s="133">
        <v>1</v>
      </c>
      <c r="AO34" s="133">
        <v>0</v>
      </c>
      <c r="AP34" s="133">
        <v>0</v>
      </c>
      <c r="AQ34" s="133">
        <v>1</v>
      </c>
      <c r="AR34" s="133">
        <v>0.5</v>
      </c>
      <c r="AS34" s="133">
        <v>0</v>
      </c>
      <c r="AT34" s="133">
        <v>0.5</v>
      </c>
      <c r="AU34" s="133">
        <v>0.5</v>
      </c>
      <c r="AV34" s="133">
        <v>0.5</v>
      </c>
      <c r="AW34" s="133">
        <v>0.5</v>
      </c>
      <c r="AX34" s="133">
        <v>0</v>
      </c>
      <c r="AY34" s="133">
        <v>0</v>
      </c>
      <c r="AZ34" s="420">
        <v>0</v>
      </c>
      <c r="BA34" s="421">
        <v>0</v>
      </c>
      <c r="BB34" s="421">
        <v>0</v>
      </c>
      <c r="BC34" s="421">
        <v>0</v>
      </c>
      <c r="BD34" s="421">
        <v>0</v>
      </c>
      <c r="BE34" s="421">
        <v>0</v>
      </c>
      <c r="BF34" s="421">
        <v>0</v>
      </c>
      <c r="BG34" s="421">
        <v>0</v>
      </c>
      <c r="BH34" s="421">
        <v>0</v>
      </c>
      <c r="BI34" s="421">
        <v>0</v>
      </c>
      <c r="BJ34" s="421">
        <v>0</v>
      </c>
      <c r="BK34" s="421">
        <v>0</v>
      </c>
      <c r="BL34" s="421">
        <v>0</v>
      </c>
      <c r="BM34" s="421">
        <v>0</v>
      </c>
      <c r="BN34" s="421">
        <v>0</v>
      </c>
      <c r="BO34" s="421">
        <v>0</v>
      </c>
      <c r="BP34" s="421">
        <v>0</v>
      </c>
      <c r="BQ34" s="421">
        <v>0</v>
      </c>
    </row>
    <row r="35" spans="1:69" s="139" customFormat="1" x14ac:dyDescent="0.25">
      <c r="A35" s="140">
        <v>39</v>
      </c>
      <c r="B35" s="140">
        <v>34</v>
      </c>
      <c r="C35" s="140" t="s">
        <v>396</v>
      </c>
      <c r="D35" s="140" t="s">
        <v>396</v>
      </c>
      <c r="E35" s="140" t="s">
        <v>180</v>
      </c>
      <c r="F35" s="431" t="s">
        <v>415</v>
      </c>
      <c r="G35" s="140" t="s">
        <v>466</v>
      </c>
      <c r="H35" s="140" t="s">
        <v>397</v>
      </c>
      <c r="I35" s="140" t="s">
        <v>398</v>
      </c>
      <c r="J35" s="140" t="s">
        <v>399</v>
      </c>
      <c r="K35" s="140" t="s">
        <v>181</v>
      </c>
      <c r="L35" s="141" t="s">
        <v>389</v>
      </c>
      <c r="M35" s="432" t="s">
        <v>374</v>
      </c>
      <c r="N35" s="432" t="s">
        <v>374</v>
      </c>
      <c r="O35" s="396" t="s">
        <v>374</v>
      </c>
      <c r="P35" s="142" t="s">
        <v>374</v>
      </c>
      <c r="Q35" s="142" t="s">
        <v>454</v>
      </c>
      <c r="R35" s="142" t="s">
        <v>374</v>
      </c>
      <c r="S35" s="427">
        <v>0.3</v>
      </c>
      <c r="T35" s="141">
        <f>AA35*S35</f>
        <v>174</v>
      </c>
      <c r="U35" s="141">
        <f>T35*3</f>
        <v>522</v>
      </c>
      <c r="V35" s="427">
        <f>AB35/AA35</f>
        <v>0.3</v>
      </c>
      <c r="W35" s="141">
        <f>AA35*V35</f>
        <v>174</v>
      </c>
      <c r="X35" s="141">
        <f>W35*3</f>
        <v>522</v>
      </c>
      <c r="Y35" s="143" t="e">
        <f>P35/AA35</f>
        <v>#VALUE!</v>
      </c>
      <c r="Z35" s="143" t="e">
        <f>P35/AB35</f>
        <v>#VALUE!</v>
      </c>
      <c r="AA35" s="141">
        <v>580</v>
      </c>
      <c r="AB35" s="141">
        <v>174</v>
      </c>
      <c r="AC35" s="140" t="s">
        <v>248</v>
      </c>
      <c r="AD35" s="140" t="s">
        <v>400</v>
      </c>
      <c r="AE35" s="428">
        <f>(AH35*10%)+(AJ35*10%)+(AK35*20%)+(AM35*10%)+(AO35*20%)+(AQ35*10%)+(AR35*5%)+(AT35*5%)+(AV35*5%)+(AX35*5%)</f>
        <v>0.03</v>
      </c>
      <c r="AF35" s="428">
        <f>(AI35*10%)+(AJ35*10%)+(AL35*20%)+(AN35*10%)+(AP35*20%)+(AQ35*10%)+(AS35*5%)+(AU35*5%)+(AW35*5%)+(AY35*5%)</f>
        <v>0</v>
      </c>
      <c r="AG35" s="428">
        <f>(AE35*80%)+(AF35*20%)</f>
        <v>2.4E-2</v>
      </c>
      <c r="AH35" s="428">
        <v>0.3</v>
      </c>
      <c r="AI35" s="428">
        <v>0</v>
      </c>
      <c r="AJ35" s="428">
        <v>0</v>
      </c>
      <c r="AK35" s="428">
        <v>0</v>
      </c>
      <c r="AL35" s="428">
        <v>0</v>
      </c>
      <c r="AM35" s="428">
        <v>0</v>
      </c>
      <c r="AN35" s="428">
        <v>0</v>
      </c>
      <c r="AO35" s="428">
        <v>0</v>
      </c>
      <c r="AP35" s="428">
        <v>0</v>
      </c>
      <c r="AQ35" s="428">
        <v>0</v>
      </c>
      <c r="AR35" s="428">
        <v>0</v>
      </c>
      <c r="AS35" s="428">
        <v>0</v>
      </c>
      <c r="AT35" s="428">
        <v>0</v>
      </c>
      <c r="AU35" s="428">
        <v>0</v>
      </c>
      <c r="AV35" s="428">
        <v>0</v>
      </c>
      <c r="AW35" s="428">
        <v>0</v>
      </c>
      <c r="AX35" s="428">
        <v>0</v>
      </c>
      <c r="AY35" s="428">
        <v>0</v>
      </c>
      <c r="AZ35" s="429">
        <v>0</v>
      </c>
      <c r="BA35" s="430">
        <v>0</v>
      </c>
      <c r="BB35" s="430">
        <v>0</v>
      </c>
      <c r="BC35" s="430">
        <v>0</v>
      </c>
      <c r="BD35" s="430">
        <v>0</v>
      </c>
      <c r="BE35" s="430">
        <v>0</v>
      </c>
      <c r="BF35" s="430">
        <v>0</v>
      </c>
      <c r="BG35" s="430">
        <v>0</v>
      </c>
      <c r="BH35" s="430">
        <v>0</v>
      </c>
      <c r="BI35" s="430">
        <v>0</v>
      </c>
      <c r="BJ35" s="430">
        <v>0</v>
      </c>
      <c r="BK35" s="430">
        <v>0</v>
      </c>
      <c r="BL35" s="430">
        <v>0</v>
      </c>
      <c r="BM35" s="430">
        <v>0</v>
      </c>
      <c r="BN35" s="430">
        <v>0</v>
      </c>
      <c r="BO35" s="430">
        <v>0</v>
      </c>
      <c r="BP35" s="430">
        <v>0</v>
      </c>
      <c r="BQ35" s="430">
        <v>0</v>
      </c>
    </row>
    <row r="36" spans="1:69" x14ac:dyDescent="0.25">
      <c r="A36" s="140">
        <v>40</v>
      </c>
      <c r="B36" s="140">
        <v>35</v>
      </c>
      <c r="C36" s="433" t="s">
        <v>401</v>
      </c>
      <c r="D36" s="140" t="s">
        <v>401</v>
      </c>
      <c r="E36" s="140" t="s">
        <v>97</v>
      </c>
      <c r="F36" s="140" t="s">
        <v>243</v>
      </c>
      <c r="G36" s="140" t="s">
        <v>466</v>
      </c>
      <c r="H36" s="140" t="s">
        <v>250</v>
      </c>
      <c r="I36" s="140" t="s">
        <v>402</v>
      </c>
      <c r="J36" s="431" t="s">
        <v>413</v>
      </c>
      <c r="K36" s="431" t="s">
        <v>430</v>
      </c>
      <c r="L36" s="141" t="s">
        <v>389</v>
      </c>
      <c r="M36" s="432" t="s">
        <v>374</v>
      </c>
      <c r="N36" s="432" t="s">
        <v>374</v>
      </c>
      <c r="O36" s="396" t="s">
        <v>374</v>
      </c>
      <c r="P36" s="142" t="s">
        <v>374</v>
      </c>
      <c r="Q36" s="142" t="s">
        <v>454</v>
      </c>
      <c r="R36" s="142" t="s">
        <v>374</v>
      </c>
      <c r="S36" s="427">
        <v>0.3</v>
      </c>
      <c r="T36" s="141">
        <f>AA36*S36</f>
        <v>35.1</v>
      </c>
      <c r="U36" s="141">
        <f>T36*3</f>
        <v>105.30000000000001</v>
      </c>
      <c r="V36" s="427">
        <f>AB36/AA36</f>
        <v>0.3</v>
      </c>
      <c r="W36" s="141">
        <f>AA36*V36</f>
        <v>35.1</v>
      </c>
      <c r="X36" s="141">
        <f>W36*3</f>
        <v>105.30000000000001</v>
      </c>
      <c r="Y36" s="143" t="e">
        <f>P36/AA36</f>
        <v>#VALUE!</v>
      </c>
      <c r="Z36" s="143" t="e">
        <f>P36/AB36</f>
        <v>#VALUE!</v>
      </c>
      <c r="AA36" s="141">
        <v>117</v>
      </c>
      <c r="AB36" s="141">
        <v>35.1</v>
      </c>
      <c r="AC36" s="140" t="s">
        <v>248</v>
      </c>
      <c r="AD36" s="140" t="s">
        <v>98</v>
      </c>
      <c r="AE36" s="428">
        <f>(AH36*10%)+(AJ36*10%)+(AK36*20%)+(AM36*10%)+(AO36*20%)+(AQ36*10%)+(AR36*5%)+(AT36*5%)+(AV36*5%)+(AX36*5%)</f>
        <v>0.83000000000000007</v>
      </c>
      <c r="AF36" s="428">
        <f>(AI36*10%)+(AJ36*10%)+(AL36*20%)+(AN36*10%)+(AP36*20%)+(AQ36*10%)+(AS36*5%)+(AU36*5%)+(AW36*5%)+(AY36*5%)</f>
        <v>0.83000000000000007</v>
      </c>
      <c r="AG36" s="428">
        <f>(AE36*80%)+(AF36*20%)</f>
        <v>0.83000000000000018</v>
      </c>
      <c r="AH36" s="428">
        <v>1</v>
      </c>
      <c r="AI36" s="428">
        <v>1</v>
      </c>
      <c r="AJ36" s="428">
        <v>1</v>
      </c>
      <c r="AK36" s="428">
        <v>0.9</v>
      </c>
      <c r="AL36" s="428">
        <v>0.9</v>
      </c>
      <c r="AM36" s="428">
        <v>1</v>
      </c>
      <c r="AN36" s="428">
        <v>1</v>
      </c>
      <c r="AO36" s="428">
        <v>0.8</v>
      </c>
      <c r="AP36" s="428">
        <v>0.8</v>
      </c>
      <c r="AQ36" s="428">
        <v>1</v>
      </c>
      <c r="AR36" s="428">
        <v>0.8</v>
      </c>
      <c r="AS36" s="428">
        <v>0.8</v>
      </c>
      <c r="AT36" s="428">
        <v>0.5</v>
      </c>
      <c r="AU36" s="428">
        <v>0.5</v>
      </c>
      <c r="AV36" s="428">
        <v>0.5</v>
      </c>
      <c r="AW36" s="428">
        <v>0.5</v>
      </c>
      <c r="AX36" s="428">
        <v>0</v>
      </c>
      <c r="AY36" s="428">
        <v>0</v>
      </c>
      <c r="AZ36" s="429" t="s">
        <v>60</v>
      </c>
      <c r="BA36" s="430">
        <v>0</v>
      </c>
      <c r="BB36" s="430" t="s">
        <v>423</v>
      </c>
      <c r="BC36" s="430" t="s">
        <v>422</v>
      </c>
      <c r="BD36" s="430">
        <v>0</v>
      </c>
      <c r="BE36" s="430" t="s">
        <v>59</v>
      </c>
      <c r="BF36" s="430">
        <v>0</v>
      </c>
      <c r="BG36" s="430" t="s">
        <v>423</v>
      </c>
      <c r="BH36" s="430">
        <v>0</v>
      </c>
      <c r="BI36" s="430" t="s">
        <v>59</v>
      </c>
      <c r="BJ36" s="430" t="s">
        <v>423</v>
      </c>
      <c r="BK36" s="430">
        <v>0</v>
      </c>
      <c r="BL36" s="430" t="s">
        <v>425</v>
      </c>
      <c r="BM36" s="430">
        <v>0</v>
      </c>
      <c r="BN36" s="430" t="s">
        <v>425</v>
      </c>
      <c r="BO36" s="430">
        <v>0</v>
      </c>
      <c r="BP36" s="430" t="s">
        <v>422</v>
      </c>
      <c r="BQ36" s="430">
        <v>0</v>
      </c>
    </row>
    <row r="37" spans="1:69" x14ac:dyDescent="0.25">
      <c r="A37" s="129">
        <v>7</v>
      </c>
      <c r="B37" s="129">
        <v>36</v>
      </c>
      <c r="C37" s="129" t="s">
        <v>249</v>
      </c>
      <c r="D37" s="129" t="s">
        <v>249</v>
      </c>
      <c r="E37" s="129" t="s">
        <v>182</v>
      </c>
      <c r="F37" s="129" t="s">
        <v>243</v>
      </c>
      <c r="G37" s="129" t="s">
        <v>466</v>
      </c>
      <c r="H37" s="129" t="s">
        <v>250</v>
      </c>
      <c r="I37" s="129" t="s">
        <v>251</v>
      </c>
      <c r="J37" s="129" t="s">
        <v>252</v>
      </c>
      <c r="K37" s="129" t="s">
        <v>431</v>
      </c>
      <c r="L37" s="130">
        <v>3</v>
      </c>
      <c r="M37" s="394">
        <v>46376</v>
      </c>
      <c r="N37" s="394">
        <v>47088</v>
      </c>
      <c r="O37" s="394">
        <v>46216</v>
      </c>
      <c r="P37" s="131">
        <v>764221135</v>
      </c>
      <c r="Q37" s="131" t="s">
        <v>454</v>
      </c>
      <c r="R37" s="129" t="s">
        <v>247</v>
      </c>
      <c r="S37" s="132">
        <v>0.3</v>
      </c>
      <c r="T37" s="130">
        <f>AA37*S37</f>
        <v>140.4</v>
      </c>
      <c r="U37" s="130">
        <f>T37*3</f>
        <v>421.20000000000005</v>
      </c>
      <c r="V37" s="132">
        <f>AB37/AA37</f>
        <v>0.3</v>
      </c>
      <c r="W37" s="130">
        <f>AA37*V37</f>
        <v>140.4</v>
      </c>
      <c r="X37" s="130">
        <f>W37*3</f>
        <v>421.20000000000005</v>
      </c>
      <c r="Y37" s="131">
        <f>P37/AA37</f>
        <v>1632951.1431623932</v>
      </c>
      <c r="Z37" s="131">
        <f>P37/AB37</f>
        <v>5443170.4772079773</v>
      </c>
      <c r="AA37" s="130">
        <v>468</v>
      </c>
      <c r="AB37" s="130">
        <v>140.4</v>
      </c>
      <c r="AC37" s="129" t="s">
        <v>248</v>
      </c>
      <c r="AD37" s="129" t="s">
        <v>98</v>
      </c>
      <c r="AE37" s="133">
        <f>(AH37*10%)+(AJ37*10%)+(AK37*20%)+(AM37*10%)+(AO37*20%)+(AQ37*10%)+(AR37*5%)+(AT37*5%)+(AV37*5%)+(AX37*5%)</f>
        <v>0.33500000000000008</v>
      </c>
      <c r="AF37" s="133">
        <f>(AI37*10%)+(AJ37*10%)+(AL37*20%)+(AN37*10%)+(AP37*20%)+(AQ37*10%)+(AS37*5%)+(AU37*5%)+(AW37*5%)+(AY37*5%)</f>
        <v>0.25</v>
      </c>
      <c r="AG37" s="133">
        <f>(AE37*80%)+(AF37*20%)</f>
        <v>0.31800000000000006</v>
      </c>
      <c r="AH37" s="133">
        <v>0.6</v>
      </c>
      <c r="AI37" s="133">
        <v>0.5</v>
      </c>
      <c r="AJ37" s="133">
        <v>1</v>
      </c>
      <c r="AK37" s="133">
        <v>0</v>
      </c>
      <c r="AL37" s="133">
        <v>0</v>
      </c>
      <c r="AM37" s="133">
        <v>0</v>
      </c>
      <c r="AN37" s="133">
        <v>0</v>
      </c>
      <c r="AO37" s="133">
        <v>0</v>
      </c>
      <c r="AP37" s="133">
        <v>0</v>
      </c>
      <c r="AQ37" s="133">
        <v>1</v>
      </c>
      <c r="AR37" s="133">
        <v>0.5</v>
      </c>
      <c r="AS37" s="133">
        <v>0</v>
      </c>
      <c r="AT37" s="133">
        <v>0.5</v>
      </c>
      <c r="AU37" s="133">
        <v>0</v>
      </c>
      <c r="AV37" s="133">
        <v>0.5</v>
      </c>
      <c r="AW37" s="133">
        <v>0</v>
      </c>
      <c r="AX37" s="133">
        <v>0</v>
      </c>
      <c r="AY37" s="133">
        <v>0</v>
      </c>
      <c r="AZ37" s="420">
        <v>0</v>
      </c>
      <c r="BA37" s="421">
        <v>0</v>
      </c>
      <c r="BB37" s="421">
        <v>0</v>
      </c>
      <c r="BC37" s="421">
        <v>0</v>
      </c>
      <c r="BD37" s="421">
        <v>0</v>
      </c>
      <c r="BE37" s="421">
        <v>0</v>
      </c>
      <c r="BF37" s="421">
        <v>0</v>
      </c>
      <c r="BG37" s="421">
        <v>0</v>
      </c>
      <c r="BH37" s="421">
        <v>0</v>
      </c>
      <c r="BI37" s="421">
        <v>0</v>
      </c>
      <c r="BJ37" s="421">
        <v>0</v>
      </c>
      <c r="BK37" s="421">
        <v>0</v>
      </c>
      <c r="BL37" s="421">
        <v>0</v>
      </c>
      <c r="BM37" s="421">
        <v>0</v>
      </c>
      <c r="BN37" s="421">
        <v>0</v>
      </c>
      <c r="BO37" s="421">
        <v>0</v>
      </c>
      <c r="BP37" s="421">
        <v>0</v>
      </c>
      <c r="BQ37" s="421">
        <v>0</v>
      </c>
    </row>
    <row r="38" spans="1:69" x14ac:dyDescent="0.25">
      <c r="A38" s="129">
        <v>26</v>
      </c>
      <c r="B38" s="129">
        <v>37</v>
      </c>
      <c r="C38" s="129" t="s">
        <v>346</v>
      </c>
      <c r="D38" s="129" t="s">
        <v>346</v>
      </c>
      <c r="E38" s="129" t="s">
        <v>100</v>
      </c>
      <c r="F38" s="129" t="s">
        <v>243</v>
      </c>
      <c r="G38" s="129" t="s">
        <v>466</v>
      </c>
      <c r="H38" s="129" t="s">
        <v>347</v>
      </c>
      <c r="I38" s="129" t="s">
        <v>348</v>
      </c>
      <c r="J38" s="129" t="s">
        <v>349</v>
      </c>
      <c r="K38" s="129" t="s">
        <v>102</v>
      </c>
      <c r="L38" s="130">
        <v>3</v>
      </c>
      <c r="M38" s="394">
        <v>46371</v>
      </c>
      <c r="N38" s="394">
        <v>47088</v>
      </c>
      <c r="O38" s="394">
        <v>46216</v>
      </c>
      <c r="P38" s="131">
        <v>318435063</v>
      </c>
      <c r="Q38" s="131" t="s">
        <v>453</v>
      </c>
      <c r="R38" s="129" t="s">
        <v>350</v>
      </c>
      <c r="S38" s="132">
        <v>0.3</v>
      </c>
      <c r="T38" s="130">
        <f>AA38*S38</f>
        <v>51.3</v>
      </c>
      <c r="U38" s="130">
        <f>T38*3</f>
        <v>153.89999999999998</v>
      </c>
      <c r="V38" s="132">
        <f>AB38/AA38</f>
        <v>0.3</v>
      </c>
      <c r="W38" s="130">
        <f>AA38*V38</f>
        <v>51.3</v>
      </c>
      <c r="X38" s="130">
        <f>W38*3</f>
        <v>153.89999999999998</v>
      </c>
      <c r="Y38" s="131">
        <f>P38/AA38</f>
        <v>1862193.350877193</v>
      </c>
      <c r="Z38" s="131">
        <f>P38/AB38</f>
        <v>6207311.1695906436</v>
      </c>
      <c r="AA38" s="130">
        <v>171</v>
      </c>
      <c r="AB38" s="130">
        <v>51.3</v>
      </c>
      <c r="AC38" s="129" t="s">
        <v>248</v>
      </c>
      <c r="AD38" s="129" t="s">
        <v>101</v>
      </c>
      <c r="AE38" s="133">
        <f>(AH38*10%)+(AJ38*10%)+(AK38*20%)+(AM38*10%)+(AO38*20%)+(AQ38*10%)+(AR38*5%)+(AT38*5%)+(AV38*5%)+(AX38*5%)</f>
        <v>0.8550000000000002</v>
      </c>
      <c r="AF38" s="133">
        <f>(AI38*10%)+(AJ38*10%)+(AL38*20%)+(AN38*10%)+(AP38*20%)+(AQ38*10%)+(AS38*5%)+(AU38*5%)+(AW38*5%)+(AY38*5%)</f>
        <v>0.8550000000000002</v>
      </c>
      <c r="AG38" s="133">
        <f>(AE38*80%)+(AF38*20%)</f>
        <v>0.8550000000000002</v>
      </c>
      <c r="AH38" s="133">
        <v>1</v>
      </c>
      <c r="AI38" s="133">
        <v>1</v>
      </c>
      <c r="AJ38" s="133">
        <v>0.9</v>
      </c>
      <c r="AK38" s="133">
        <v>0.9</v>
      </c>
      <c r="AL38" s="133">
        <v>0.9</v>
      </c>
      <c r="AM38" s="133">
        <v>0.8</v>
      </c>
      <c r="AN38" s="133">
        <v>0.8</v>
      </c>
      <c r="AO38" s="133">
        <v>0.8</v>
      </c>
      <c r="AP38" s="133">
        <v>0.8</v>
      </c>
      <c r="AQ38" s="133">
        <v>1</v>
      </c>
      <c r="AR38" s="133">
        <v>0.9</v>
      </c>
      <c r="AS38" s="133">
        <v>0.9</v>
      </c>
      <c r="AT38" s="133">
        <v>1</v>
      </c>
      <c r="AU38" s="133">
        <v>1</v>
      </c>
      <c r="AV38" s="133">
        <v>0.5</v>
      </c>
      <c r="AW38" s="133">
        <v>0.5</v>
      </c>
      <c r="AX38" s="133">
        <v>0.5</v>
      </c>
      <c r="AY38" s="133">
        <v>0.5</v>
      </c>
      <c r="AZ38" s="420" t="s">
        <v>60</v>
      </c>
      <c r="BA38" s="421">
        <v>0</v>
      </c>
      <c r="BB38" s="421" t="s">
        <v>423</v>
      </c>
      <c r="BC38" s="421" t="s">
        <v>423</v>
      </c>
      <c r="BD38" s="421">
        <v>0</v>
      </c>
      <c r="BE38" s="421" t="s">
        <v>425</v>
      </c>
      <c r="BF38" s="421">
        <v>0</v>
      </c>
      <c r="BG38" s="421" t="s">
        <v>422</v>
      </c>
      <c r="BH38" s="421">
        <v>0</v>
      </c>
      <c r="BI38" s="421" t="s">
        <v>59</v>
      </c>
      <c r="BJ38" s="421" t="s">
        <v>425</v>
      </c>
      <c r="BK38" s="421">
        <v>0</v>
      </c>
      <c r="BL38" s="421" t="s">
        <v>60</v>
      </c>
      <c r="BM38" s="421">
        <v>0</v>
      </c>
      <c r="BN38" s="421" t="s">
        <v>425</v>
      </c>
      <c r="BO38" s="421">
        <v>0</v>
      </c>
      <c r="BP38" s="421" t="s">
        <v>425</v>
      </c>
      <c r="BQ38" s="421">
        <v>0</v>
      </c>
    </row>
    <row r="39" spans="1:69" x14ac:dyDescent="0.25">
      <c r="A39" s="129">
        <v>27</v>
      </c>
      <c r="B39" s="129">
        <v>38</v>
      </c>
      <c r="C39" s="129" t="s">
        <v>351</v>
      </c>
      <c r="D39" s="129" t="s">
        <v>351</v>
      </c>
      <c r="E39" s="129" t="s">
        <v>183</v>
      </c>
      <c r="F39" s="129" t="s">
        <v>243</v>
      </c>
      <c r="G39" s="129" t="s">
        <v>466</v>
      </c>
      <c r="H39" s="129" t="s">
        <v>244</v>
      </c>
      <c r="I39" s="129" t="s">
        <v>352</v>
      </c>
      <c r="J39" s="129" t="s">
        <v>353</v>
      </c>
      <c r="K39" s="129" t="s">
        <v>185</v>
      </c>
      <c r="L39" s="130">
        <v>3</v>
      </c>
      <c r="M39" s="394">
        <v>46376</v>
      </c>
      <c r="N39" s="394">
        <v>47088</v>
      </c>
      <c r="O39" s="394">
        <v>46216</v>
      </c>
      <c r="P39" s="131">
        <v>889889834.79999995</v>
      </c>
      <c r="Q39" s="131" t="s">
        <v>454</v>
      </c>
      <c r="R39" s="129" t="s">
        <v>350</v>
      </c>
      <c r="S39" s="132">
        <v>0.3</v>
      </c>
      <c r="T39" s="130">
        <f>AA39*S39</f>
        <v>153</v>
      </c>
      <c r="U39" s="130">
        <f>T39*3</f>
        <v>459</v>
      </c>
      <c r="V39" s="132">
        <f>AB39/AA39</f>
        <v>0.3</v>
      </c>
      <c r="W39" s="130">
        <f>AA39*V39</f>
        <v>153</v>
      </c>
      <c r="X39" s="130">
        <f>W39*3</f>
        <v>459</v>
      </c>
      <c r="Y39" s="131">
        <f>P39/AA39</f>
        <v>1744882.0290196077</v>
      </c>
      <c r="Z39" s="131">
        <f>P39/AB39</f>
        <v>5816273.430065359</v>
      </c>
      <c r="AA39" s="130">
        <v>510</v>
      </c>
      <c r="AB39" s="130">
        <v>153</v>
      </c>
      <c r="AC39" s="129" t="s">
        <v>248</v>
      </c>
      <c r="AD39" s="129" t="s">
        <v>184</v>
      </c>
      <c r="AE39" s="133">
        <f>(AH39*10%)+(AJ39*10%)+(AK39*20%)+(AM39*10%)+(AO39*20%)+(AQ39*10%)+(AR39*5%)+(AT39*5%)+(AV39*5%)+(AX39*5%)</f>
        <v>0.44000000000000006</v>
      </c>
      <c r="AF39" s="133">
        <f>(AI39*10%)+(AJ39*10%)+(AL39*20%)+(AN39*10%)+(AP39*20%)+(AQ39*10%)+(AS39*5%)+(AU39*5%)+(AW39*5%)+(AY39*5%)</f>
        <v>0.25</v>
      </c>
      <c r="AG39" s="133">
        <f>(AE39*80%)+(AF39*20%)</f>
        <v>0.40200000000000008</v>
      </c>
      <c r="AH39" s="133">
        <v>0.9</v>
      </c>
      <c r="AI39" s="133">
        <v>0.5</v>
      </c>
      <c r="AJ39" s="133">
        <v>1</v>
      </c>
      <c r="AK39" s="133">
        <v>0.5</v>
      </c>
      <c r="AL39" s="133">
        <v>0</v>
      </c>
      <c r="AM39" s="133">
        <v>0</v>
      </c>
      <c r="AN39" s="133">
        <v>0</v>
      </c>
      <c r="AO39" s="133">
        <v>0</v>
      </c>
      <c r="AP39" s="133">
        <v>0</v>
      </c>
      <c r="AQ39" s="133">
        <v>1</v>
      </c>
      <c r="AR39" s="133">
        <v>0.5</v>
      </c>
      <c r="AS39" s="133">
        <v>0</v>
      </c>
      <c r="AT39" s="133">
        <v>0.5</v>
      </c>
      <c r="AU39" s="133">
        <v>0</v>
      </c>
      <c r="AV39" s="133">
        <v>0</v>
      </c>
      <c r="AW39" s="133">
        <v>0</v>
      </c>
      <c r="AX39" s="133">
        <v>0</v>
      </c>
      <c r="AY39" s="133">
        <v>0</v>
      </c>
      <c r="AZ39" s="420">
        <v>0</v>
      </c>
      <c r="BA39" s="421">
        <v>0</v>
      </c>
      <c r="BB39" s="421">
        <v>0</v>
      </c>
      <c r="BC39" s="421">
        <v>0</v>
      </c>
      <c r="BD39" s="421">
        <v>0</v>
      </c>
      <c r="BE39" s="421">
        <v>0</v>
      </c>
      <c r="BF39" s="421">
        <v>0</v>
      </c>
      <c r="BG39" s="421">
        <v>0</v>
      </c>
      <c r="BH39" s="421">
        <v>0</v>
      </c>
      <c r="BI39" s="421">
        <v>0</v>
      </c>
      <c r="BJ39" s="421">
        <v>0</v>
      </c>
      <c r="BK39" s="421">
        <v>0</v>
      </c>
      <c r="BL39" s="421">
        <v>0</v>
      </c>
      <c r="BM39" s="421">
        <v>0</v>
      </c>
      <c r="BN39" s="421">
        <v>0</v>
      </c>
      <c r="BO39" s="421">
        <v>0</v>
      </c>
      <c r="BP39" s="421">
        <v>0</v>
      </c>
      <c r="BQ39" s="421">
        <v>0</v>
      </c>
    </row>
    <row r="40" spans="1:69" x14ac:dyDescent="0.25">
      <c r="A40" s="129">
        <v>6</v>
      </c>
      <c r="B40" s="129">
        <v>39</v>
      </c>
      <c r="C40" s="129" t="s">
        <v>242</v>
      </c>
      <c r="D40" s="129" t="s">
        <v>242</v>
      </c>
      <c r="E40" s="129" t="s">
        <v>186</v>
      </c>
      <c r="F40" s="129" t="s">
        <v>243</v>
      </c>
      <c r="G40" s="129" t="s">
        <v>466</v>
      </c>
      <c r="H40" s="129" t="s">
        <v>244</v>
      </c>
      <c r="I40" s="129" t="s">
        <v>245</v>
      </c>
      <c r="J40" s="129" t="s">
        <v>246</v>
      </c>
      <c r="K40" s="129" t="s">
        <v>187</v>
      </c>
      <c r="L40" s="130">
        <v>3</v>
      </c>
      <c r="M40" s="394">
        <v>46376</v>
      </c>
      <c r="N40" s="394">
        <v>47088</v>
      </c>
      <c r="O40" s="394">
        <v>46216</v>
      </c>
      <c r="P40" s="131">
        <v>800323710.20000005</v>
      </c>
      <c r="Q40" s="131" t="s">
        <v>454</v>
      </c>
      <c r="R40" s="129" t="s">
        <v>247</v>
      </c>
      <c r="S40" s="132">
        <v>0.3</v>
      </c>
      <c r="T40" s="130">
        <f>AA40*S40</f>
        <v>150.9</v>
      </c>
      <c r="U40" s="130">
        <f>T40*3</f>
        <v>452.70000000000005</v>
      </c>
      <c r="V40" s="132">
        <f>AB40/AA40</f>
        <v>0.30019880715705766</v>
      </c>
      <c r="W40" s="130">
        <f>AA40*V40</f>
        <v>151</v>
      </c>
      <c r="X40" s="130">
        <f>W40*3</f>
        <v>453</v>
      </c>
      <c r="Y40" s="131">
        <f>P40/AA40</f>
        <v>1591100.8155069584</v>
      </c>
      <c r="Z40" s="131">
        <f>P40/AB40</f>
        <v>5300157.0211920533</v>
      </c>
      <c r="AA40" s="130">
        <v>503</v>
      </c>
      <c r="AB40" s="130">
        <v>151</v>
      </c>
      <c r="AC40" s="129" t="s">
        <v>248</v>
      </c>
      <c r="AD40" s="129" t="s">
        <v>184</v>
      </c>
      <c r="AE40" s="133">
        <f>(AH40*10%)+(AJ40*10%)+(AK40*20%)+(AM40*10%)+(AO40*20%)+(AQ40*10%)+(AR40*5%)+(AT40*5%)+(AV40*5%)+(AX40*5%)</f>
        <v>0.55500000000000005</v>
      </c>
      <c r="AF40" s="133">
        <f>(AI40*10%)+(AJ40*10%)+(AL40*20%)+(AN40*10%)+(AP40*20%)+(AQ40*10%)+(AS40*5%)+(AU40*5%)+(AW40*5%)+(AY40*5%)</f>
        <v>0.27500000000000002</v>
      </c>
      <c r="AG40" s="133">
        <f>(AE40*80%)+(AF40*20%)</f>
        <v>0.49900000000000005</v>
      </c>
      <c r="AH40" s="133">
        <v>0.8</v>
      </c>
      <c r="AI40" s="133">
        <v>0.5</v>
      </c>
      <c r="AJ40" s="133">
        <v>1</v>
      </c>
      <c r="AK40" s="133">
        <v>0.5</v>
      </c>
      <c r="AL40" s="133">
        <v>0</v>
      </c>
      <c r="AM40" s="133">
        <v>0</v>
      </c>
      <c r="AN40" s="133">
        <v>0</v>
      </c>
      <c r="AO40" s="133">
        <v>0.5</v>
      </c>
      <c r="AP40" s="133">
        <v>0</v>
      </c>
      <c r="AQ40" s="133">
        <v>1</v>
      </c>
      <c r="AR40" s="133">
        <v>0.5</v>
      </c>
      <c r="AS40" s="133">
        <v>0</v>
      </c>
      <c r="AT40" s="133">
        <v>0.5</v>
      </c>
      <c r="AU40" s="133">
        <v>0</v>
      </c>
      <c r="AV40" s="133">
        <v>0.5</v>
      </c>
      <c r="AW40" s="133">
        <v>0.5</v>
      </c>
      <c r="AX40" s="133">
        <v>0</v>
      </c>
      <c r="AY40" s="133">
        <v>0</v>
      </c>
      <c r="AZ40" s="420">
        <v>0</v>
      </c>
      <c r="BA40" s="421">
        <v>0</v>
      </c>
      <c r="BB40" s="421">
        <v>0</v>
      </c>
      <c r="BC40" s="421">
        <v>0</v>
      </c>
      <c r="BD40" s="421">
        <v>0</v>
      </c>
      <c r="BE40" s="421">
        <v>0</v>
      </c>
      <c r="BF40" s="421">
        <v>0</v>
      </c>
      <c r="BG40" s="421">
        <v>0</v>
      </c>
      <c r="BH40" s="421">
        <v>0</v>
      </c>
      <c r="BI40" s="421">
        <v>0</v>
      </c>
      <c r="BJ40" s="421">
        <v>0</v>
      </c>
      <c r="BK40" s="421">
        <v>0</v>
      </c>
      <c r="BL40" s="421">
        <v>0</v>
      </c>
      <c r="BM40" s="421">
        <v>0</v>
      </c>
      <c r="BN40" s="421">
        <v>0</v>
      </c>
      <c r="BO40" s="421">
        <v>0</v>
      </c>
      <c r="BP40" s="421">
        <v>0</v>
      </c>
      <c r="BQ40" s="421">
        <v>0</v>
      </c>
    </row>
    <row r="41" spans="1:69" x14ac:dyDescent="0.25">
      <c r="A41" s="129">
        <v>28</v>
      </c>
      <c r="B41" s="129">
        <v>40</v>
      </c>
      <c r="C41" s="129" t="s">
        <v>354</v>
      </c>
      <c r="D41" s="129" t="s">
        <v>354</v>
      </c>
      <c r="E41" s="129" t="s">
        <v>93</v>
      </c>
      <c r="F41" s="129" t="s">
        <v>243</v>
      </c>
      <c r="G41" s="129" t="s">
        <v>465</v>
      </c>
      <c r="H41" s="129" t="s">
        <v>355</v>
      </c>
      <c r="I41" s="129" t="s">
        <v>356</v>
      </c>
      <c r="J41" s="129" t="s">
        <v>357</v>
      </c>
      <c r="K41" s="129" t="s">
        <v>96</v>
      </c>
      <c r="L41" s="130">
        <v>3</v>
      </c>
      <c r="M41" s="394">
        <v>46357</v>
      </c>
      <c r="N41" s="394">
        <v>46844</v>
      </c>
      <c r="O41" s="394">
        <v>46216</v>
      </c>
      <c r="P41" s="131">
        <v>66887790</v>
      </c>
      <c r="Q41" s="131" t="s">
        <v>453</v>
      </c>
      <c r="R41" s="129" t="s">
        <v>350</v>
      </c>
      <c r="S41" s="132">
        <v>0.3</v>
      </c>
      <c r="T41" s="130">
        <f>AA41*S41</f>
        <v>21</v>
      </c>
      <c r="U41" s="130">
        <f>T41*3</f>
        <v>63</v>
      </c>
      <c r="V41" s="132">
        <f>AB41/AA41</f>
        <v>0.31428571428571428</v>
      </c>
      <c r="W41" s="130">
        <f>AA41*V41</f>
        <v>22</v>
      </c>
      <c r="X41" s="130">
        <f>W41*3</f>
        <v>66</v>
      </c>
      <c r="Y41" s="131">
        <f>P41/AA41</f>
        <v>955539.85714285716</v>
      </c>
      <c r="Z41" s="131">
        <f>P41/AB41</f>
        <v>3040354.0909090908</v>
      </c>
      <c r="AA41" s="130">
        <v>70</v>
      </c>
      <c r="AB41" s="130">
        <v>22</v>
      </c>
      <c r="AC41" s="129" t="s">
        <v>226</v>
      </c>
      <c r="AD41" s="129" t="s">
        <v>94</v>
      </c>
      <c r="AE41" s="133">
        <f>(AH41*10%)+(AJ41*10%)+(AK41*20%)+(AM41*10%)+(AO41*20%)+(AQ41*10%)+(AR41*5%)+(AT41*5%)+(AV41*5%)+(AX41*5%)</f>
        <v>0.82000000000000017</v>
      </c>
      <c r="AF41" s="133">
        <f>(AI41*10%)+(AJ41*10%)+(AL41*20%)+(AN41*10%)+(AP41*20%)+(AQ41*10%)+(AS41*5%)+(AU41*5%)+(AW41*5%)+(AY41*5%)</f>
        <v>0.82000000000000017</v>
      </c>
      <c r="AG41" s="133">
        <f>(AE41*80%)+(AF41*20%)</f>
        <v>0.82000000000000017</v>
      </c>
      <c r="AH41" s="133">
        <v>1</v>
      </c>
      <c r="AI41" s="133">
        <v>1</v>
      </c>
      <c r="AJ41" s="133">
        <v>1</v>
      </c>
      <c r="AK41" s="133">
        <v>0.8</v>
      </c>
      <c r="AL41" s="133">
        <v>0.8</v>
      </c>
      <c r="AM41" s="133">
        <v>0.8</v>
      </c>
      <c r="AN41" s="133">
        <v>0.8</v>
      </c>
      <c r="AO41" s="133">
        <v>0.8</v>
      </c>
      <c r="AP41" s="133">
        <v>0.8</v>
      </c>
      <c r="AQ41" s="133">
        <v>1</v>
      </c>
      <c r="AR41" s="133">
        <v>0.9</v>
      </c>
      <c r="AS41" s="133">
        <v>0.9</v>
      </c>
      <c r="AT41" s="133">
        <v>0.5</v>
      </c>
      <c r="AU41" s="133">
        <v>0.5</v>
      </c>
      <c r="AV41" s="133">
        <v>0.5</v>
      </c>
      <c r="AW41" s="133">
        <v>0.5</v>
      </c>
      <c r="AX41" s="133">
        <v>0.5</v>
      </c>
      <c r="AY41" s="133">
        <v>0.5</v>
      </c>
      <c r="AZ41" s="420" t="s">
        <v>60</v>
      </c>
      <c r="BA41" s="421">
        <v>0</v>
      </c>
      <c r="BB41" s="421" t="s">
        <v>60</v>
      </c>
      <c r="BC41" s="421" t="s">
        <v>423</v>
      </c>
      <c r="BD41" s="421">
        <v>0</v>
      </c>
      <c r="BE41" s="421" t="s">
        <v>422</v>
      </c>
      <c r="BF41" s="421">
        <v>0</v>
      </c>
      <c r="BG41" s="421" t="s">
        <v>423</v>
      </c>
      <c r="BH41" s="421">
        <v>0</v>
      </c>
      <c r="BI41" s="421" t="s">
        <v>59</v>
      </c>
      <c r="BJ41" s="421" t="s">
        <v>423</v>
      </c>
      <c r="BK41" s="421">
        <v>0</v>
      </c>
      <c r="BL41" s="421" t="s">
        <v>425</v>
      </c>
      <c r="BM41" s="421">
        <v>0</v>
      </c>
      <c r="BN41" s="421" t="s">
        <v>425</v>
      </c>
      <c r="BO41" s="421">
        <v>0</v>
      </c>
      <c r="BP41" s="421" t="s">
        <v>425</v>
      </c>
      <c r="BQ41" s="421">
        <v>0</v>
      </c>
    </row>
    <row r="42" spans="1:69" ht="15.75" thickBot="1" x14ac:dyDescent="0.3">
      <c r="P42" s="146"/>
      <c r="Q42" s="146"/>
    </row>
    <row r="43" spans="1:69" x14ac:dyDescent="0.25">
      <c r="O43" s="148" t="s">
        <v>403</v>
      </c>
      <c r="P43" s="149">
        <f>SUM(P2:P35)</f>
        <v>5241151440.6999998</v>
      </c>
      <c r="Q43" s="184"/>
      <c r="R43" s="164" t="s">
        <v>419</v>
      </c>
    </row>
    <row r="44" spans="1:69" x14ac:dyDescent="0.25">
      <c r="O44" s="150" t="s">
        <v>404</v>
      </c>
      <c r="P44" s="151">
        <f>SUM(P2,P4,P5,P6,P9,P10,P11,P12,P13,P14,P15,P16,P17,P18,P20,P21,P22,P23,P24,P25,P26,P29,P30,P31,P33,P35)</f>
        <v>4325761243.3000002</v>
      </c>
      <c r="Q44" s="185"/>
      <c r="R44" s="163" t="s">
        <v>418</v>
      </c>
    </row>
    <row r="45" spans="1:69" ht="15.75" thickBot="1" x14ac:dyDescent="0.3">
      <c r="O45" s="152" t="s">
        <v>405</v>
      </c>
      <c r="P45" s="153">
        <f>SUM(P3,P7,P8,P19,P27,P28)</f>
        <v>671693311.20000005</v>
      </c>
      <c r="Q45" s="186"/>
      <c r="R45" s="154" t="s">
        <v>406</v>
      </c>
    </row>
    <row r="46" spans="1:69" ht="15.75" thickBot="1" x14ac:dyDescent="0.3"/>
    <row r="47" spans="1:69" x14ac:dyDescent="0.25">
      <c r="O47" s="148" t="s">
        <v>407</v>
      </c>
      <c r="P47" s="155">
        <f>AVERAGE(P2:P35)</f>
        <v>194116720.0259259</v>
      </c>
      <c r="Q47" s="187"/>
    </row>
    <row r="48" spans="1:69" x14ac:dyDescent="0.25">
      <c r="O48" s="150" t="s">
        <v>408</v>
      </c>
      <c r="P48" s="156">
        <f>AVERAGE(P2,P4,P5,P6,P9,P10,P11,P12,P13,P14,P15,P16,P17,P18,P20,P21,P22,P23,P24,P25,P26,P29,P30,P31,P33,P35)</f>
        <v>216288062.16500002</v>
      </c>
      <c r="Q48" s="187"/>
    </row>
    <row r="49" spans="15:17" ht="15.75" thickBot="1" x14ac:dyDescent="0.3">
      <c r="O49" s="152" t="s">
        <v>409</v>
      </c>
      <c r="P49" s="157">
        <f>AVERAGE(P3,P7,P8,P19,P27,P28)</f>
        <v>134338662.24000001</v>
      </c>
      <c r="Q49" s="187"/>
    </row>
    <row r="50" spans="15:17" ht="15.75" thickBot="1" x14ac:dyDescent="0.3"/>
    <row r="51" spans="15:17" x14ac:dyDescent="0.25">
      <c r="O51" s="148" t="s">
        <v>410</v>
      </c>
      <c r="P51" s="155" t="e">
        <f>AVERAGE(Y2:Y35)</f>
        <v>#VALUE!</v>
      </c>
      <c r="Q51" s="187"/>
    </row>
    <row r="52" spans="15:17" x14ac:dyDescent="0.25">
      <c r="O52" s="150" t="s">
        <v>411</v>
      </c>
      <c r="P52" s="156" t="e">
        <f>AVERAGE(Y2,Y4,Y5,Y6,Y9,Y10,Y11,Y12,Y13,Y14,Y15,Y16,Y17,Y18,Y20,Y21,Y22,Y23,Y24,Y25,Y26,Y29,Y30,Y31,Y33,Y35)</f>
        <v>#VALUE!</v>
      </c>
      <c r="Q52" s="187"/>
    </row>
    <row r="53" spans="15:17" ht="15.75" thickBot="1" x14ac:dyDescent="0.3">
      <c r="O53" s="152" t="s">
        <v>412</v>
      </c>
      <c r="P53" s="157" t="e">
        <f>AVERAGE(Y3,Y7,Y8,Y19,Y27,Y28)</f>
        <v>#VALUE!</v>
      </c>
      <c r="Q53" s="187"/>
    </row>
  </sheetData>
  <autoFilter ref="A1:BQ1" xr:uid="{782B78D9-47D9-4EBC-8BEA-A91BF1F0B98F}"/>
  <conditionalFormatting sqref="AZ1:BQ1">
    <cfRule type="containsText" dxfId="14" priority="1" operator="containsText" text="N/A">
      <formula>NOT(ISERROR(SEARCH("N/A",AZ1)))</formula>
    </cfRule>
    <cfRule type="containsText" dxfId="13" priority="2" operator="containsText" text="Liberado">
      <formula>NOT(ISERROR(SEARCH("Liberado",AZ1)))</formula>
    </cfRule>
    <cfRule type="containsText" dxfId="12" priority="3" operator="containsText" text="En dictaminación">
      <formula>NOT(ISERROR(SEARCH("En dictaminación",AZ1)))</formula>
    </cfRule>
    <cfRule type="containsText" dxfId="11" priority="4" operator="containsText" text="En actualización">
      <formula>NOT(ISERROR(SEARCH("En actualización",AZ1)))</formula>
    </cfRule>
    <cfRule type="containsText" dxfId="10" priority="5" operator="containsText" text="Requerimiento">
      <formula>NOT(ISERROR(SEARCH("Requerimiento",AZ1)))</formula>
    </cfRule>
    <cfRule type="containsText" dxfId="9" priority="6" operator="containsText" text="En evaluación">
      <formula>NOT(ISERROR(SEARCH("En evaluación",AZ1)))</formula>
    </cfRule>
    <cfRule type="containsText" dxfId="8" priority="7" operator="containsText" text="Pendiente">
      <formula>NOT(ISERROR(SEARCH("Pendiente",AZ1)))</formula>
    </cfRule>
    <cfRule type="containsText" dxfId="7" priority="8" operator="containsText" text="En elaboración">
      <formula>NOT(ISERROR(SEARCH("En elaboración",AZ1)))</formula>
    </cfRule>
  </conditionalFormatting>
  <pageMargins left="0.7" right="0.7" top="0.75" bottom="0.75" header="0.3" footer="0.3"/>
  <pageSetup orientation="portrait" verticalDpi="597" r:id="rId1"/>
</worksheet>
</file>

<file path=docMetadata/LabelInfo.xml><?xml version="1.0" encoding="utf-8"?>
<clbl:labelList xmlns:clbl="http://schemas.microsoft.com/office/2020/mipLabelMetadata">
  <clbl:label id="{d57455e9-c73f-45d7-ad9e-430426491df9}" enabled="0" method="" siteId="{d57455e9-c73f-45d7-ad9e-430426491d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Resumen Ejecutivo</vt:lpstr>
      <vt:lpstr>Proyectos ok</vt:lpstr>
      <vt:lpstr>Base de Datos</vt:lpstr>
      <vt:lpstr>CAPEX</vt:lpstr>
      <vt:lpstr>'Base de Datos'!Área_de_impresión</vt:lpstr>
      <vt:lpstr>'Proyectos ok'!Área_de_impresión</vt:lpstr>
      <vt:lpstr>'Resumen Ejecutivo'!Área_de_impresión</vt:lpstr>
    </vt:vector>
  </TitlesOfParts>
  <Manager/>
  <Company>Windows uE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CPEL</dc:creator>
  <cp:keywords/>
  <dc:description/>
  <cp:lastModifiedBy>CRISTOFER MARTI HERNANDEZ AGUILAR</cp:lastModifiedBy>
  <cp:revision/>
  <cp:lastPrinted>2026-10-29T19:04:16Z</cp:lastPrinted>
  <dcterms:created xsi:type="dcterms:W3CDTF">2009-02-16T20:36:14Z</dcterms:created>
  <dcterms:modified xsi:type="dcterms:W3CDTF">2026-10-30T19:07:08Z</dcterms:modified>
  <cp:category/>
  <cp:contentStatus/>
</cp:coreProperties>
</file>